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גדרות ורווח" sheetId="1" state="visible" r:id="rId1"/>
    <sheet xmlns:r="http://schemas.openxmlformats.org/officeDocument/2006/relationships" name="יומן פרסום" sheetId="2" state="visible" r:id="rId2"/>
    <sheet xmlns:r="http://schemas.openxmlformats.org/officeDocument/2006/relationships" name="סיכו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dd/mm/yyyy"/>
  </numFmts>
  <fonts count="7">
    <font>
      <name val="Calibri"/>
      <family val="2"/>
      <color theme="1"/>
      <sz val="11"/>
      <scheme val="minor"/>
    </font>
    <font>
      <b val="1"/>
      <color rgb="00141A30"/>
      <sz val="16"/>
    </font>
    <font>
      <i val="1"/>
      <color rgb="00545A70"/>
    </font>
    <font>
      <b val="1"/>
      <sz val="12"/>
    </font>
    <font>
      <b val="1"/>
      <color rgb="00F4F5F8"/>
    </font>
    <font>
      <b val="1"/>
    </font>
    <font>
      <b val="1"/>
      <color rgb="00B4385E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41A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right" vertical="center" readingOrder="2"/>
    </xf>
    <xf numFmtId="0" fontId="0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readingOrder="2"/>
    </xf>
    <xf numFmtId="0" fontId="3" fillId="0" borderId="0" applyAlignment="1" pivotButton="0" quotePrefix="0" xfId="0">
      <alignment horizontal="right" vertical="center" readingOrder="2"/>
    </xf>
    <xf numFmtId="0" fontId="0" fillId="2" borderId="0" applyAlignment="1" pivotButton="0" quotePrefix="0" xfId="0">
      <alignment horizontal="right" vertical="center" readingOrder="2"/>
    </xf>
    <xf numFmtId="164" fontId="0" fillId="2" borderId="0" applyAlignment="1" pivotButton="0" quotePrefix="0" xfId="0">
      <alignment horizontal="right" vertical="center" readingOrder="2"/>
    </xf>
    <xf numFmtId="0" fontId="4" fillId="3" borderId="0" applyAlignment="1" pivotButton="0" quotePrefix="0" xfId="0">
      <alignment horizontal="right" vertical="center" readingOrder="2"/>
    </xf>
    <xf numFmtId="3" fontId="0" fillId="2" borderId="0" applyAlignment="1" pivotButton="0" quotePrefix="0" xfId="0">
      <alignment horizontal="right" vertical="center" readingOrder="2"/>
    </xf>
    <xf numFmtId="2" fontId="0" fillId="2" borderId="0" applyAlignment="1" pivotButton="0" quotePrefix="0" xfId="0">
      <alignment horizontal="right" vertical="center" readingOrder="2"/>
    </xf>
    <xf numFmtId="165" fontId="0" fillId="0" borderId="0" applyAlignment="1" pivotButton="0" quotePrefix="0" xfId="0">
      <alignment horizontal="right" vertical="center" readingOrder="2"/>
    </xf>
    <xf numFmtId="0" fontId="5" fillId="0" borderId="0" applyAlignment="1" pivotButton="0" quotePrefix="0" xfId="0">
      <alignment horizontal="right" vertical="center" readingOrder="2"/>
    </xf>
    <xf numFmtId="165" fontId="5" fillId="0" borderId="0" applyAlignment="1" pivotButton="0" quotePrefix="0" xfId="0">
      <alignment horizontal="right" vertical="center" readingOrder="2"/>
    </xf>
    <xf numFmtId="9" fontId="0" fillId="2" borderId="0" applyAlignment="1" pivotButton="0" quotePrefix="0" xfId="0">
      <alignment horizontal="right" vertical="center" readingOrder="2"/>
    </xf>
    <xf numFmtId="3" fontId="0" fillId="0" borderId="0" applyAlignment="1" pivotButton="0" quotePrefix="0" xfId="0">
      <alignment horizontal="right" vertical="center" readingOrder="2"/>
    </xf>
    <xf numFmtId="165" fontId="6" fillId="0" borderId="0" applyAlignment="1" pivotButton="0" quotePrefix="0" xfId="0">
      <alignment horizontal="right" vertical="center" readingOrder="2"/>
    </xf>
    <xf numFmtId="0" fontId="4" fillId="3" borderId="0" applyAlignment="1" pivotButton="0" quotePrefix="0" xfId="0">
      <alignment horizontal="center" vertical="center" wrapText="1" readingOrder="2"/>
    </xf>
    <xf numFmtId="166" fontId="0" fillId="2" borderId="0" applyAlignment="1" pivotButton="0" quotePrefix="0" xfId="0">
      <alignment horizontal="right" vertical="center" readingOrder="2"/>
    </xf>
    <xf numFmtId="10" fontId="0" fillId="0" borderId="0" applyAlignment="1" pivotButton="0" quotePrefix="0" xfId="0">
      <alignment horizontal="right" vertical="center" readingOrder="2"/>
    </xf>
    <xf numFmtId="2" fontId="0" fillId="0" borderId="0" applyAlignment="1" pivotButton="0" quotePrefix="0" xfId="0">
      <alignment horizontal="right" vertical="center" readingOrder="2"/>
    </xf>
    <xf numFmtId="0" fontId="1" fillId="0" borderId="0" pivotButton="0" quotePrefix="0" xfId="0"/>
    <xf numFmtId="1" fontId="0" fillId="0" borderId="0" applyAlignment="1" pivotButton="0" quotePrefix="0" xfId="0">
      <alignment horizontal="right" vertical="center" readingOrder="2"/>
    </xf>
    <xf numFmtId="3" fontId="5" fillId="0" borderId="0" applyAlignment="1" pivotButton="0" quotePrefix="0" xfId="0">
      <alignment horizontal="right" vertical="center" readingOrder="2"/>
    </xf>
  </cellXfs>
  <cellStyles count="1">
    <cellStyle name="Normal" xfId="0" builtinId="0" hidden="0"/>
  </cellStyles>
  <dxfs count="2">
    <dxf>
      <font>
        <b val="1"/>
        <color rgb="00B4385E"/>
      </font>
    </dxf>
    <dxf>
      <font>
        <b val="1"/>
        <color rgb="001F7A4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LUNÉ: הגדרות ורווח למכירה</t>
        </is>
      </c>
      <c r="B1" s="2" t="n"/>
      <c r="C1" s="2" t="n"/>
      <c r="D1" s="2" t="n"/>
    </row>
    <row r="2">
      <c r="A2" s="3" t="inlineStr">
        <is>
          <t>תאים צהובים = לעדכן לפי המספרים האמיתיים שלך. כל השאר מחושב לבד.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הגדרות כלליות</t>
        </is>
      </c>
      <c r="B4" s="2" t="n"/>
      <c r="C4" s="2" t="n"/>
      <c r="D4" s="2" t="n"/>
    </row>
    <row r="5">
      <c r="A5" s="2" t="inlineStr">
        <is>
          <t>שער דולר (₪)</t>
        </is>
      </c>
      <c r="B5" s="5" t="n">
        <v>3.6</v>
      </c>
      <c r="C5" s="2" t="n"/>
      <c r="D5" s="2" t="n"/>
    </row>
    <row r="6">
      <c r="A6" s="2" t="inlineStr">
        <is>
          <t>עמלת סליקה (%)</t>
        </is>
      </c>
      <c r="B6" s="6" t="n">
        <v>0.025</v>
      </c>
      <c r="C6" s="2" t="n"/>
      <c r="D6" s="2" t="n"/>
    </row>
    <row r="7">
      <c r="A7" s="2" t="inlineStr">
        <is>
          <t>עמלת שופיפיי על סולק חיצוני (%)</t>
        </is>
      </c>
      <c r="B7" s="6" t="n">
        <v>0.02</v>
      </c>
      <c r="C7" s="2" t="n"/>
      <c r="D7" s="2" t="n"/>
    </row>
    <row r="8">
      <c r="A8" s="2" t="inlineStr">
        <is>
          <t>עוסק מורשה? (כן/לא)</t>
        </is>
      </c>
      <c r="B8" s="5" t="inlineStr">
        <is>
          <t>לא</t>
        </is>
      </c>
      <c r="C8" s="2" t="n"/>
      <c r="D8" s="2" t="n"/>
    </row>
    <row r="9">
      <c r="A9" s="2" t="inlineStr">
        <is>
          <t>מע"מ (%)</t>
        </is>
      </c>
      <c r="B9" s="6" t="n">
        <v>0.18</v>
      </c>
      <c r="C9" s="2" t="n"/>
      <c r="D9" s="2" t="n"/>
    </row>
    <row r="10">
      <c r="A10" s="2" t="n"/>
      <c r="B10" s="2" t="n"/>
      <c r="C10" s="2" t="n"/>
      <c r="D10" s="2" t="n"/>
    </row>
    <row r="11">
      <c r="A11" s="4" t="inlineStr">
        <is>
          <t>לכל חבילה</t>
        </is>
      </c>
      <c r="B11" s="2" t="n"/>
      <c r="C11" s="2" t="n"/>
      <c r="D11" s="2" t="n"/>
    </row>
    <row r="12">
      <c r="A12" s="7" t="inlineStr"/>
      <c r="B12" s="7" t="inlineStr">
        <is>
          <t>סט אחד</t>
        </is>
      </c>
      <c r="C12" s="7" t="inlineStr">
        <is>
          <t>2 סטים</t>
        </is>
      </c>
      <c r="D12" s="7" t="inlineStr">
        <is>
          <t>3 סטים</t>
        </is>
      </c>
    </row>
    <row r="13">
      <c r="A13" s="2" t="inlineStr">
        <is>
          <t>מחיר מכירה (₪)</t>
        </is>
      </c>
      <c r="B13" s="8" t="n">
        <v>119</v>
      </c>
      <c r="C13" s="8" t="n">
        <v>179</v>
      </c>
      <c r="D13" s="8" t="n">
        <v>229</v>
      </c>
    </row>
    <row r="14">
      <c r="A14" s="2" t="inlineStr">
        <is>
          <t>עלות ספק + משלוח ($)</t>
        </is>
      </c>
      <c r="B14" s="9" t="n">
        <v>7.2</v>
      </c>
      <c r="C14" s="9" t="n">
        <v>12.5</v>
      </c>
      <c r="D14" s="9" t="n">
        <v>17.5</v>
      </c>
    </row>
    <row r="15">
      <c r="A15" s="2" t="inlineStr">
        <is>
          <t>עלות ספק + משלוח (₪)</t>
        </is>
      </c>
      <c r="B15" s="10">
        <f>B14*$B$5</f>
        <v/>
      </c>
      <c r="C15" s="10">
        <f>C14*$B$5</f>
        <v/>
      </c>
      <c r="D15" s="10">
        <f>D14*$B$5</f>
        <v/>
      </c>
    </row>
    <row r="16">
      <c r="A16" s="2" t="inlineStr">
        <is>
          <t>הכנסה נטו אחרי מע"מ (₪)</t>
        </is>
      </c>
      <c r="B16" s="10">
        <f>IF($B$8="כן",B13/(1+$B$9),B13)</f>
        <v/>
      </c>
      <c r="C16" s="10">
        <f>IF($B$8="כן",C13/(1+$B$9),C13)</f>
        <v/>
      </c>
      <c r="D16" s="10">
        <f>IF($B$8="כן",D13/(1+$B$9),D13)</f>
        <v/>
      </c>
    </row>
    <row r="17">
      <c r="A17" s="2" t="inlineStr">
        <is>
          <t>עמלות (₪)</t>
        </is>
      </c>
      <c r="B17" s="10">
        <f>B13*($B$6+$B$7)</f>
        <v/>
      </c>
      <c r="C17" s="10">
        <f>C13*($B$6+$B$7)</f>
        <v/>
      </c>
      <c r="D17" s="10">
        <f>D13*($B$6+$B$7)</f>
        <v/>
      </c>
    </row>
    <row r="18">
      <c r="A18" s="11" t="inlineStr">
        <is>
          <t>רווח לפני פרסום (₪)</t>
        </is>
      </c>
      <c r="B18" s="12">
        <f>B16-B15-B17</f>
        <v/>
      </c>
      <c r="C18" s="12">
        <f>C16-C15-C17</f>
        <v/>
      </c>
      <c r="D18" s="12">
        <f>D16-D15-D17</f>
        <v/>
      </c>
    </row>
    <row r="19">
      <c r="A19" s="2" t="inlineStr">
        <is>
          <t>עלות רכישה מקסימלית לאיזון (₪)</t>
        </is>
      </c>
      <c r="B19" s="10">
        <f>B18</f>
        <v/>
      </c>
      <c r="C19" s="10">
        <f>C18</f>
        <v/>
      </c>
      <c r="D19" s="10">
        <f>D18</f>
        <v/>
      </c>
    </row>
    <row r="20">
      <c r="A20" s="2" t="inlineStr">
        <is>
          <t>יעד עלות רכישה (60% מהאיזון) (₪)</t>
        </is>
      </c>
      <c r="B20" s="10">
        <f>B18*0.6</f>
        <v/>
      </c>
      <c r="C20" s="10">
        <f>C18*0.6</f>
        <v/>
      </c>
      <c r="D20" s="10">
        <f>D18*0.6</f>
        <v/>
      </c>
    </row>
    <row r="21">
      <c r="A21" s="2" t="n"/>
      <c r="B21" s="2" t="n"/>
      <c r="C21" s="2" t="n"/>
      <c r="D21" s="2" t="n"/>
    </row>
    <row r="22">
      <c r="A22" s="11" t="inlineStr">
        <is>
          <t>תמהיל הזמנות צפוי (%)</t>
        </is>
      </c>
      <c r="B22" s="13" t="n">
        <v>0.4</v>
      </c>
      <c r="C22" s="13" t="n">
        <v>0.45</v>
      </c>
      <c r="D22" s="13" t="n">
        <v>0.15</v>
      </c>
    </row>
    <row r="23">
      <c r="A23" s="2" t="inlineStr">
        <is>
          <t>סל ממוצע (₪)</t>
        </is>
      </c>
      <c r="B23" s="14">
        <f>SUMPRODUCT(B13:D13,B22:D22)</f>
        <v/>
      </c>
      <c r="C23" s="2" t="n"/>
      <c r="D23" s="2" t="n"/>
    </row>
    <row r="24">
      <c r="A24" s="2" t="inlineStr">
        <is>
          <t>רווח ממוצע לפני פרסום (₪)</t>
        </is>
      </c>
      <c r="B24" s="10">
        <f>SUMPRODUCT(B18:D18,B22:D22)</f>
        <v/>
      </c>
      <c r="C24" s="2" t="n"/>
      <c r="D24" s="2" t="n"/>
    </row>
    <row r="25">
      <c r="A25" s="11" t="inlineStr">
        <is>
          <t>עלות רכישה לאיזון, ממוצע (₪)</t>
        </is>
      </c>
      <c r="B25" s="15">
        <f>B24</f>
        <v/>
      </c>
      <c r="C25" s="2" t="n"/>
      <c r="D25" s="2" t="n"/>
    </row>
    <row r="26">
      <c r="A26" s="11" t="inlineStr">
        <is>
          <t>יעד עלות רכישה, ממוצע (₪)</t>
        </is>
      </c>
      <c r="B26" s="15">
        <f>B24*0.6</f>
        <v/>
      </c>
      <c r="C26" s="2" t="n"/>
      <c r="D26" s="2" t="n"/>
    </row>
    <row r="27">
      <c r="A27" s="2" t="n"/>
      <c r="B27" s="2" t="n"/>
      <c r="C27" s="2" t="n"/>
      <c r="D27" s="2" t="n"/>
    </row>
    <row r="28">
      <c r="A28" s="3" t="inlineStr">
        <is>
          <t>הערה: עלות הספק כאן היא הערכה. מעדכנים אותה ברגע שיש הצעת מחיר אמיתית (ראו suppliers.md).</t>
        </is>
      </c>
      <c r="B28" s="2" t="n"/>
      <c r="C28" s="2" t="n"/>
      <c r="D28" s="2" t="n"/>
    </row>
  </sheetData>
  <dataValidations count="1">
    <dataValidation sqref="B8" showDropDown="0" showInputMessage="0" showErrorMessage="0" allowBlank="0" type="list">
      <formula1>"כן,לא"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9" customWidth="1" min="9" max="9"/>
    <col width="14" customWidth="1" min="10" max="10"/>
    <col width="9" customWidth="1" min="11" max="11"/>
    <col width="18" customWidth="1" min="12" max="12"/>
    <col width="44" customWidth="1" min="13" max="13"/>
  </cols>
  <sheetData>
    <row r="1" ht="32" customHeight="1">
      <c r="A1" s="16" t="inlineStr">
        <is>
          <t>תאריך</t>
        </is>
      </c>
      <c r="B1" s="16" t="inlineStr">
        <is>
          <t>מודעה / קמפיין</t>
        </is>
      </c>
      <c r="C1" s="16" t="inlineStr">
        <is>
          <t>הוצאה (₪)</t>
        </is>
      </c>
      <c r="D1" s="16" t="inlineStr">
        <is>
          <t>חשיפות</t>
        </is>
      </c>
      <c r="E1" s="16" t="inlineStr">
        <is>
          <t>קליקים על קישור</t>
        </is>
      </c>
      <c r="F1" s="16" t="inlineStr">
        <is>
          <t>הוספות לסל</t>
        </is>
      </c>
      <c r="G1" s="16" t="inlineStr">
        <is>
          <t>רכישות</t>
        </is>
      </c>
      <c r="H1" s="16" t="inlineStr">
        <is>
          <t>הכנסה (₪)</t>
        </is>
      </c>
      <c r="I1" s="16" t="inlineStr">
        <is>
          <t>CTR</t>
        </is>
      </c>
      <c r="J1" s="16" t="inlineStr">
        <is>
          <t>עלות רכישה (₪)</t>
        </is>
      </c>
      <c r="K1" s="16" t="inlineStr">
        <is>
          <t>ROAS</t>
        </is>
      </c>
      <c r="L1" s="16" t="inlineStr">
        <is>
          <t>רווח אחרי פרסום (₪)</t>
        </is>
      </c>
      <c r="M1" s="16" t="inlineStr">
        <is>
          <t>מה עושים</t>
        </is>
      </c>
    </row>
    <row r="2">
      <c r="A2" s="17" t="n"/>
      <c r="B2" s="5" t="n"/>
      <c r="C2" s="5" t="n"/>
      <c r="D2" s="5" t="n"/>
      <c r="E2" s="5" t="n"/>
      <c r="F2" s="5" t="n"/>
      <c r="G2" s="5" t="n"/>
      <c r="H2" s="5" t="n"/>
      <c r="I2" s="18">
        <f>IF(D2&gt;0,E2/D2,"")</f>
        <v/>
      </c>
      <c r="J2" s="10">
        <f>IF(G2&gt;0,C2/G2,"")</f>
        <v/>
      </c>
      <c r="K2" s="19">
        <f>IF(C2&gt;0,H2/C2,"")</f>
        <v/>
      </c>
      <c r="L2" s="14">
        <f>IF(C2="","",G2*'הגדרות ורווח'!$B$24-C2)</f>
        <v/>
      </c>
      <c r="M2" s="2">
        <f>IF(C2="","",IF(AND(G2=0,F2=0,C2&gt;=80),"לכבות את המודעה (80 ₪ בלי הוספה לסל)",IF(AND(D2&gt;1000,I2&lt;0.007),"ההוק לא עובד: קריאייטיב חדש",IF(AND(F2&gt;=3,G2=0),"יש הוספות לסל ואין רכישות: לבדוק תשלום וסליקה",IF(G2=0,"להמשיך לאסוף נתונים",IF(J2&lt;='הגדרות ורווח'!$B$26,"מצוין: להגדיל תקציב ב-20%",IF(J2&lt;='הגדרות ורווח'!$B$25,"מרוויח: להחזיק, להחליף מודעות חלשות","מפסיד: לעצור ולשנות")))))))</f>
        <v/>
      </c>
    </row>
    <row r="3">
      <c r="A3" s="17" t="n"/>
      <c r="B3" s="5" t="n"/>
      <c r="C3" s="5" t="n"/>
      <c r="D3" s="5" t="n"/>
      <c r="E3" s="5" t="n"/>
      <c r="F3" s="5" t="n"/>
      <c r="G3" s="5" t="n"/>
      <c r="H3" s="5" t="n"/>
      <c r="I3" s="18">
        <f>IF(D3&gt;0,E3/D3,"")</f>
        <v/>
      </c>
      <c r="J3" s="10">
        <f>IF(G3&gt;0,C3/G3,"")</f>
        <v/>
      </c>
      <c r="K3" s="19">
        <f>IF(C3&gt;0,H3/C3,"")</f>
        <v/>
      </c>
      <c r="L3" s="14">
        <f>IF(C3="","",G3*'הגדרות ורווח'!$B$24-C3)</f>
        <v/>
      </c>
      <c r="M3" s="2">
        <f>IF(C3="","",IF(AND(G3=0,F3=0,C3&gt;=80),"לכבות את המודעה (80 ₪ בלי הוספה לסל)",IF(AND(D3&gt;1000,I3&lt;0.007),"ההוק לא עובד: קריאייטיב חדש",IF(AND(F3&gt;=3,G3=0),"יש הוספות לסל ואין רכישות: לבדוק תשלום וסליקה",IF(G3=0,"להמשיך לאסוף נתונים",IF(J3&lt;='הגדרות ורווח'!$B$26,"מצוין: להגדיל תקציב ב-20%",IF(J3&lt;='הגדרות ורווח'!$B$25,"מרוויח: להחזיק, להחליף מודעות חלשות","מפסיד: לעצור ולשנות")))))))</f>
        <v/>
      </c>
    </row>
    <row r="4">
      <c r="A4" s="17" t="n"/>
      <c r="B4" s="5" t="n"/>
      <c r="C4" s="5" t="n"/>
      <c r="D4" s="5" t="n"/>
      <c r="E4" s="5" t="n"/>
      <c r="F4" s="5" t="n"/>
      <c r="G4" s="5" t="n"/>
      <c r="H4" s="5" t="n"/>
      <c r="I4" s="18">
        <f>IF(D4&gt;0,E4/D4,"")</f>
        <v/>
      </c>
      <c r="J4" s="10">
        <f>IF(G4&gt;0,C4/G4,"")</f>
        <v/>
      </c>
      <c r="K4" s="19">
        <f>IF(C4&gt;0,H4/C4,"")</f>
        <v/>
      </c>
      <c r="L4" s="14">
        <f>IF(C4="","",G4*'הגדרות ורווח'!$B$24-C4)</f>
        <v/>
      </c>
      <c r="M4" s="2">
        <f>IF(C4="","",IF(AND(G4=0,F4=0,C4&gt;=80),"לכבות את המודעה (80 ₪ בלי הוספה לסל)",IF(AND(D4&gt;1000,I4&lt;0.007),"ההוק לא עובד: קריאייטיב חדש",IF(AND(F4&gt;=3,G4=0),"יש הוספות לסל ואין רכישות: לבדוק תשלום וסליקה",IF(G4=0,"להמשיך לאסוף נתונים",IF(J4&lt;='הגדרות ורווח'!$B$26,"מצוין: להגדיל תקציב ב-20%",IF(J4&lt;='הגדרות ורווח'!$B$25,"מרוויח: להחזיק, להחליף מודעות חלשות","מפסיד: לעצור ולשנות")))))))</f>
        <v/>
      </c>
    </row>
    <row r="5">
      <c r="A5" s="17" t="n"/>
      <c r="B5" s="5" t="n"/>
      <c r="C5" s="5" t="n"/>
      <c r="D5" s="5" t="n"/>
      <c r="E5" s="5" t="n"/>
      <c r="F5" s="5" t="n"/>
      <c r="G5" s="5" t="n"/>
      <c r="H5" s="5" t="n"/>
      <c r="I5" s="18">
        <f>IF(D5&gt;0,E5/D5,"")</f>
        <v/>
      </c>
      <c r="J5" s="10">
        <f>IF(G5&gt;0,C5/G5,"")</f>
        <v/>
      </c>
      <c r="K5" s="19">
        <f>IF(C5&gt;0,H5/C5,"")</f>
        <v/>
      </c>
      <c r="L5" s="14">
        <f>IF(C5="","",G5*'הגדרות ורווח'!$B$24-C5)</f>
        <v/>
      </c>
      <c r="M5" s="2">
        <f>IF(C5="","",IF(AND(G5=0,F5=0,C5&gt;=80),"לכבות את המודעה (80 ₪ בלי הוספה לסל)",IF(AND(D5&gt;1000,I5&lt;0.007),"ההוק לא עובד: קריאייטיב חדש",IF(AND(F5&gt;=3,G5=0),"יש הוספות לסל ואין רכישות: לבדוק תשלום וסליקה",IF(G5=0,"להמשיך לאסוף נתונים",IF(J5&lt;='הגדרות ורווח'!$B$26,"מצוין: להגדיל תקציב ב-20%",IF(J5&lt;='הגדרות ורווח'!$B$25,"מרוויח: להחזיק, להחליף מודעות חלשות","מפסיד: לעצור ולשנות")))))))</f>
        <v/>
      </c>
    </row>
    <row r="6">
      <c r="A6" s="17" t="n"/>
      <c r="B6" s="5" t="n"/>
      <c r="C6" s="5" t="n"/>
      <c r="D6" s="5" t="n"/>
      <c r="E6" s="5" t="n"/>
      <c r="F6" s="5" t="n"/>
      <c r="G6" s="5" t="n"/>
      <c r="H6" s="5" t="n"/>
      <c r="I6" s="18">
        <f>IF(D6&gt;0,E6/D6,"")</f>
        <v/>
      </c>
      <c r="J6" s="10">
        <f>IF(G6&gt;0,C6/G6,"")</f>
        <v/>
      </c>
      <c r="K6" s="19">
        <f>IF(C6&gt;0,H6/C6,"")</f>
        <v/>
      </c>
      <c r="L6" s="14">
        <f>IF(C6="","",G6*'הגדרות ורווח'!$B$24-C6)</f>
        <v/>
      </c>
      <c r="M6" s="2">
        <f>IF(C6="","",IF(AND(G6=0,F6=0,C6&gt;=80),"לכבות את המודעה (80 ₪ בלי הוספה לסל)",IF(AND(D6&gt;1000,I6&lt;0.007),"ההוק לא עובד: קריאייטיב חדש",IF(AND(F6&gt;=3,G6=0),"יש הוספות לסל ואין רכישות: לבדוק תשלום וסליקה",IF(G6=0,"להמשיך לאסוף נתונים",IF(J6&lt;='הגדרות ורווח'!$B$26,"מצוין: להגדיל תקציב ב-20%",IF(J6&lt;='הגדרות ורווח'!$B$25,"מרוויח: להחזיק, להחליף מודעות חלשות","מפסיד: לעצור ולשנות")))))))</f>
        <v/>
      </c>
    </row>
    <row r="7">
      <c r="A7" s="17" t="n"/>
      <c r="B7" s="5" t="n"/>
      <c r="C7" s="5" t="n"/>
      <c r="D7" s="5" t="n"/>
      <c r="E7" s="5" t="n"/>
      <c r="F7" s="5" t="n"/>
      <c r="G7" s="5" t="n"/>
      <c r="H7" s="5" t="n"/>
      <c r="I7" s="18">
        <f>IF(D7&gt;0,E7/D7,"")</f>
        <v/>
      </c>
      <c r="J7" s="10">
        <f>IF(G7&gt;0,C7/G7,"")</f>
        <v/>
      </c>
      <c r="K7" s="19">
        <f>IF(C7&gt;0,H7/C7,"")</f>
        <v/>
      </c>
      <c r="L7" s="14">
        <f>IF(C7="","",G7*'הגדרות ורווח'!$B$24-C7)</f>
        <v/>
      </c>
      <c r="M7" s="2">
        <f>IF(C7="","",IF(AND(G7=0,F7=0,C7&gt;=80),"לכבות את המודעה (80 ₪ בלי הוספה לסל)",IF(AND(D7&gt;1000,I7&lt;0.007),"ההוק לא עובד: קריאייטיב חדש",IF(AND(F7&gt;=3,G7=0),"יש הוספות לסל ואין רכישות: לבדוק תשלום וסליקה",IF(G7=0,"להמשיך לאסוף נתונים",IF(J7&lt;='הגדרות ורווח'!$B$26,"מצוין: להגדיל תקציב ב-20%",IF(J7&lt;='הגדרות ורווח'!$B$25,"מרוויח: להחזיק, להחליף מודעות חלשות","מפסיד: לעצור ולשנות")))))))</f>
        <v/>
      </c>
    </row>
    <row r="8">
      <c r="A8" s="17" t="n"/>
      <c r="B8" s="5" t="n"/>
      <c r="C8" s="5" t="n"/>
      <c r="D8" s="5" t="n"/>
      <c r="E8" s="5" t="n"/>
      <c r="F8" s="5" t="n"/>
      <c r="G8" s="5" t="n"/>
      <c r="H8" s="5" t="n"/>
      <c r="I8" s="18">
        <f>IF(D8&gt;0,E8/D8,"")</f>
        <v/>
      </c>
      <c r="J8" s="10">
        <f>IF(G8&gt;0,C8/G8,"")</f>
        <v/>
      </c>
      <c r="K8" s="19">
        <f>IF(C8&gt;0,H8/C8,"")</f>
        <v/>
      </c>
      <c r="L8" s="14">
        <f>IF(C8="","",G8*'הגדרות ורווח'!$B$24-C8)</f>
        <v/>
      </c>
      <c r="M8" s="2">
        <f>IF(C8="","",IF(AND(G8=0,F8=0,C8&gt;=80),"לכבות את המודעה (80 ₪ בלי הוספה לסל)",IF(AND(D8&gt;1000,I8&lt;0.007),"ההוק לא עובד: קריאייטיב חדש",IF(AND(F8&gt;=3,G8=0),"יש הוספות לסל ואין רכישות: לבדוק תשלום וסליקה",IF(G8=0,"להמשיך לאסוף נתונים",IF(J8&lt;='הגדרות ורווח'!$B$26,"מצוין: להגדיל תקציב ב-20%",IF(J8&lt;='הגדרות ורווח'!$B$25,"מרוויח: להחזיק, להחליף מודעות חלשות","מפסיד: לעצור ולשנות")))))))</f>
        <v/>
      </c>
    </row>
    <row r="9">
      <c r="A9" s="17" t="n"/>
      <c r="B9" s="5" t="n"/>
      <c r="C9" s="5" t="n"/>
      <c r="D9" s="5" t="n"/>
      <c r="E9" s="5" t="n"/>
      <c r="F9" s="5" t="n"/>
      <c r="G9" s="5" t="n"/>
      <c r="H9" s="5" t="n"/>
      <c r="I9" s="18">
        <f>IF(D9&gt;0,E9/D9,"")</f>
        <v/>
      </c>
      <c r="J9" s="10">
        <f>IF(G9&gt;0,C9/G9,"")</f>
        <v/>
      </c>
      <c r="K9" s="19">
        <f>IF(C9&gt;0,H9/C9,"")</f>
        <v/>
      </c>
      <c r="L9" s="14">
        <f>IF(C9="","",G9*'הגדרות ורווח'!$B$24-C9)</f>
        <v/>
      </c>
      <c r="M9" s="2">
        <f>IF(C9="","",IF(AND(G9=0,F9=0,C9&gt;=80),"לכבות את המודעה (80 ₪ בלי הוספה לסל)",IF(AND(D9&gt;1000,I9&lt;0.007),"ההוק לא עובד: קריאייטיב חדש",IF(AND(F9&gt;=3,G9=0),"יש הוספות לסל ואין רכישות: לבדוק תשלום וסליקה",IF(G9=0,"להמשיך לאסוף נתונים",IF(J9&lt;='הגדרות ורווח'!$B$26,"מצוין: להגדיל תקציב ב-20%",IF(J9&lt;='הגדרות ורווח'!$B$25,"מרוויח: להחזיק, להחליף מודעות חלשות","מפסיד: לעצור ולשנות")))))))</f>
        <v/>
      </c>
    </row>
    <row r="10">
      <c r="A10" s="17" t="n"/>
      <c r="B10" s="5" t="n"/>
      <c r="C10" s="5" t="n"/>
      <c r="D10" s="5" t="n"/>
      <c r="E10" s="5" t="n"/>
      <c r="F10" s="5" t="n"/>
      <c r="G10" s="5" t="n"/>
      <c r="H10" s="5" t="n"/>
      <c r="I10" s="18">
        <f>IF(D10&gt;0,E10/D10,"")</f>
        <v/>
      </c>
      <c r="J10" s="10">
        <f>IF(G10&gt;0,C10/G10,"")</f>
        <v/>
      </c>
      <c r="K10" s="19">
        <f>IF(C10&gt;0,H10/C10,"")</f>
        <v/>
      </c>
      <c r="L10" s="14">
        <f>IF(C10="","",G10*'הגדרות ורווח'!$B$24-C10)</f>
        <v/>
      </c>
      <c r="M10" s="2">
        <f>IF(C10="","",IF(AND(G10=0,F10=0,C10&gt;=80),"לכבות את המודעה (80 ₪ בלי הוספה לסל)",IF(AND(D10&gt;1000,I10&lt;0.007),"ההוק לא עובד: קריאייטיב חדש",IF(AND(F10&gt;=3,G10=0),"יש הוספות לסל ואין רכישות: לבדוק תשלום וסליקה",IF(G10=0,"להמשיך לאסוף נתונים",IF(J10&lt;='הגדרות ורווח'!$B$26,"מצוין: להגדיל תקציב ב-20%",IF(J10&lt;='הגדרות ורווח'!$B$25,"מרוויח: להחזיק, להחליף מודעות חלשות","מפסיד: לעצור ולשנות")))))))</f>
        <v/>
      </c>
    </row>
    <row r="11">
      <c r="A11" s="17" t="n"/>
      <c r="B11" s="5" t="n"/>
      <c r="C11" s="5" t="n"/>
      <c r="D11" s="5" t="n"/>
      <c r="E11" s="5" t="n"/>
      <c r="F11" s="5" t="n"/>
      <c r="G11" s="5" t="n"/>
      <c r="H11" s="5" t="n"/>
      <c r="I11" s="18">
        <f>IF(D11&gt;0,E11/D11,"")</f>
        <v/>
      </c>
      <c r="J11" s="10">
        <f>IF(G11&gt;0,C11/G11,"")</f>
        <v/>
      </c>
      <c r="K11" s="19">
        <f>IF(C11&gt;0,H11/C11,"")</f>
        <v/>
      </c>
      <c r="L11" s="14">
        <f>IF(C11="","",G11*'הגדרות ורווח'!$B$24-C11)</f>
        <v/>
      </c>
      <c r="M11" s="2">
        <f>IF(C11="","",IF(AND(G11=0,F11=0,C11&gt;=80),"לכבות את המודעה (80 ₪ בלי הוספה לסל)",IF(AND(D11&gt;1000,I11&lt;0.007),"ההוק לא עובד: קריאייטיב חדש",IF(AND(F11&gt;=3,G11=0),"יש הוספות לסל ואין רכישות: לבדוק תשלום וסליקה",IF(G11=0,"להמשיך לאסוף נתונים",IF(J11&lt;='הגדרות ורווח'!$B$26,"מצוין: להגדיל תקציב ב-20%",IF(J11&lt;='הגדרות ורווח'!$B$25,"מרוויח: להחזיק, להחליף מודעות חלשות","מפסיד: לעצור ולשנות")))))))</f>
        <v/>
      </c>
    </row>
    <row r="12">
      <c r="A12" s="17" t="n"/>
      <c r="B12" s="5" t="n"/>
      <c r="C12" s="5" t="n"/>
      <c r="D12" s="5" t="n"/>
      <c r="E12" s="5" t="n"/>
      <c r="F12" s="5" t="n"/>
      <c r="G12" s="5" t="n"/>
      <c r="H12" s="5" t="n"/>
      <c r="I12" s="18">
        <f>IF(D12&gt;0,E12/D12,"")</f>
        <v/>
      </c>
      <c r="J12" s="10">
        <f>IF(G12&gt;0,C12/G12,"")</f>
        <v/>
      </c>
      <c r="K12" s="19">
        <f>IF(C12&gt;0,H12/C12,"")</f>
        <v/>
      </c>
      <c r="L12" s="14">
        <f>IF(C12="","",G12*'הגדרות ורווח'!$B$24-C12)</f>
        <v/>
      </c>
      <c r="M12" s="2">
        <f>IF(C12="","",IF(AND(G12=0,F12=0,C12&gt;=80),"לכבות את המודעה (80 ₪ בלי הוספה לסל)",IF(AND(D12&gt;1000,I12&lt;0.007),"ההוק לא עובד: קריאייטיב חדש",IF(AND(F12&gt;=3,G12=0),"יש הוספות לסל ואין רכישות: לבדוק תשלום וסליקה",IF(G12=0,"להמשיך לאסוף נתונים",IF(J12&lt;='הגדרות ורווח'!$B$26,"מצוין: להגדיל תקציב ב-20%",IF(J12&lt;='הגדרות ורווח'!$B$25,"מרוויח: להחזיק, להחליף מודעות חלשות","מפסיד: לעצור ולשנות")))))))</f>
        <v/>
      </c>
    </row>
    <row r="13">
      <c r="A13" s="17" t="n"/>
      <c r="B13" s="5" t="n"/>
      <c r="C13" s="5" t="n"/>
      <c r="D13" s="5" t="n"/>
      <c r="E13" s="5" t="n"/>
      <c r="F13" s="5" t="n"/>
      <c r="G13" s="5" t="n"/>
      <c r="H13" s="5" t="n"/>
      <c r="I13" s="18">
        <f>IF(D13&gt;0,E13/D13,"")</f>
        <v/>
      </c>
      <c r="J13" s="10">
        <f>IF(G13&gt;0,C13/G13,"")</f>
        <v/>
      </c>
      <c r="K13" s="19">
        <f>IF(C13&gt;0,H13/C13,"")</f>
        <v/>
      </c>
      <c r="L13" s="14">
        <f>IF(C13="","",G13*'הגדרות ורווח'!$B$24-C13)</f>
        <v/>
      </c>
      <c r="M13" s="2">
        <f>IF(C13="","",IF(AND(G13=0,F13=0,C13&gt;=80),"לכבות את המודעה (80 ₪ בלי הוספה לסל)",IF(AND(D13&gt;1000,I13&lt;0.007),"ההוק לא עובד: קריאייטיב חדש",IF(AND(F13&gt;=3,G13=0),"יש הוספות לסל ואין רכישות: לבדוק תשלום וסליקה",IF(G13=0,"להמשיך לאסוף נתונים",IF(J13&lt;='הגדרות ורווח'!$B$26,"מצוין: להגדיל תקציב ב-20%",IF(J13&lt;='הגדרות ורווח'!$B$25,"מרוויח: להחזיק, להחליף מודעות חלשות","מפסיד: לעצור ולשנות")))))))</f>
        <v/>
      </c>
    </row>
    <row r="14">
      <c r="A14" s="17" t="n"/>
      <c r="B14" s="5" t="n"/>
      <c r="C14" s="5" t="n"/>
      <c r="D14" s="5" t="n"/>
      <c r="E14" s="5" t="n"/>
      <c r="F14" s="5" t="n"/>
      <c r="G14" s="5" t="n"/>
      <c r="H14" s="5" t="n"/>
      <c r="I14" s="18">
        <f>IF(D14&gt;0,E14/D14,"")</f>
        <v/>
      </c>
      <c r="J14" s="10">
        <f>IF(G14&gt;0,C14/G14,"")</f>
        <v/>
      </c>
      <c r="K14" s="19">
        <f>IF(C14&gt;0,H14/C14,"")</f>
        <v/>
      </c>
      <c r="L14" s="14">
        <f>IF(C14="","",G14*'הגדרות ורווח'!$B$24-C14)</f>
        <v/>
      </c>
      <c r="M14" s="2">
        <f>IF(C14="","",IF(AND(G14=0,F14=0,C14&gt;=80),"לכבות את המודעה (80 ₪ בלי הוספה לסל)",IF(AND(D14&gt;1000,I14&lt;0.007),"ההוק לא עובד: קריאייטיב חדש",IF(AND(F14&gt;=3,G14=0),"יש הוספות לסל ואין רכישות: לבדוק תשלום וסליקה",IF(G14=0,"להמשיך לאסוף נתונים",IF(J14&lt;='הגדרות ורווח'!$B$26,"מצוין: להגדיל תקציב ב-20%",IF(J14&lt;='הגדרות ורווח'!$B$25,"מרוויח: להחזיק, להחליף מודעות חלשות","מפסיד: לעצור ולשנות")))))))</f>
        <v/>
      </c>
    </row>
    <row r="15">
      <c r="A15" s="17" t="n"/>
      <c r="B15" s="5" t="n"/>
      <c r="C15" s="5" t="n"/>
      <c r="D15" s="5" t="n"/>
      <c r="E15" s="5" t="n"/>
      <c r="F15" s="5" t="n"/>
      <c r="G15" s="5" t="n"/>
      <c r="H15" s="5" t="n"/>
      <c r="I15" s="18">
        <f>IF(D15&gt;0,E15/D15,"")</f>
        <v/>
      </c>
      <c r="J15" s="10">
        <f>IF(G15&gt;0,C15/G15,"")</f>
        <v/>
      </c>
      <c r="K15" s="19">
        <f>IF(C15&gt;0,H15/C15,"")</f>
        <v/>
      </c>
      <c r="L15" s="14">
        <f>IF(C15="","",G15*'הגדרות ורווח'!$B$24-C15)</f>
        <v/>
      </c>
      <c r="M15" s="2">
        <f>IF(C15="","",IF(AND(G15=0,F15=0,C15&gt;=80),"לכבות את המודעה (80 ₪ בלי הוספה לסל)",IF(AND(D15&gt;1000,I15&lt;0.007),"ההוק לא עובד: קריאייטיב חדש",IF(AND(F15&gt;=3,G15=0),"יש הוספות לסל ואין רכישות: לבדוק תשלום וסליקה",IF(G15=0,"להמשיך לאסוף נתונים",IF(J15&lt;='הגדרות ורווח'!$B$26,"מצוין: להגדיל תקציב ב-20%",IF(J15&lt;='הגדרות ורווח'!$B$25,"מרוויח: להחזיק, להחליף מודעות חלשות","מפסיד: לעצור ולשנות")))))))</f>
        <v/>
      </c>
    </row>
    <row r="16">
      <c r="A16" s="17" t="n"/>
      <c r="B16" s="5" t="n"/>
      <c r="C16" s="5" t="n"/>
      <c r="D16" s="5" t="n"/>
      <c r="E16" s="5" t="n"/>
      <c r="F16" s="5" t="n"/>
      <c r="G16" s="5" t="n"/>
      <c r="H16" s="5" t="n"/>
      <c r="I16" s="18">
        <f>IF(D16&gt;0,E16/D16,"")</f>
        <v/>
      </c>
      <c r="J16" s="10">
        <f>IF(G16&gt;0,C16/G16,"")</f>
        <v/>
      </c>
      <c r="K16" s="19">
        <f>IF(C16&gt;0,H16/C16,"")</f>
        <v/>
      </c>
      <c r="L16" s="14">
        <f>IF(C16="","",G16*'הגדרות ורווח'!$B$24-C16)</f>
        <v/>
      </c>
      <c r="M16" s="2">
        <f>IF(C16="","",IF(AND(G16=0,F16=0,C16&gt;=80),"לכבות את המודעה (80 ₪ בלי הוספה לסל)",IF(AND(D16&gt;1000,I16&lt;0.007),"ההוק לא עובד: קריאייטיב חדש",IF(AND(F16&gt;=3,G16=0),"יש הוספות לסל ואין רכישות: לבדוק תשלום וסליקה",IF(G16=0,"להמשיך לאסוף נתונים",IF(J16&lt;='הגדרות ורווח'!$B$26,"מצוין: להגדיל תקציב ב-20%",IF(J16&lt;='הגדרות ורווח'!$B$25,"מרוויח: להחזיק, להחליף מודעות חלשות","מפסיד: לעצור ולשנות")))))))</f>
        <v/>
      </c>
    </row>
    <row r="17">
      <c r="A17" s="17" t="n"/>
      <c r="B17" s="5" t="n"/>
      <c r="C17" s="5" t="n"/>
      <c r="D17" s="5" t="n"/>
      <c r="E17" s="5" t="n"/>
      <c r="F17" s="5" t="n"/>
      <c r="G17" s="5" t="n"/>
      <c r="H17" s="5" t="n"/>
      <c r="I17" s="18">
        <f>IF(D17&gt;0,E17/D17,"")</f>
        <v/>
      </c>
      <c r="J17" s="10">
        <f>IF(G17&gt;0,C17/G17,"")</f>
        <v/>
      </c>
      <c r="K17" s="19">
        <f>IF(C17&gt;0,H17/C17,"")</f>
        <v/>
      </c>
      <c r="L17" s="14">
        <f>IF(C17="","",G17*'הגדרות ורווח'!$B$24-C17)</f>
        <v/>
      </c>
      <c r="M17" s="2">
        <f>IF(C17="","",IF(AND(G17=0,F17=0,C17&gt;=80),"לכבות את המודעה (80 ₪ בלי הוספה לסל)",IF(AND(D17&gt;1000,I17&lt;0.007),"ההוק לא עובד: קריאייטיב חדש",IF(AND(F17&gt;=3,G17=0),"יש הוספות לסל ואין רכישות: לבדוק תשלום וסליקה",IF(G17=0,"להמשיך לאסוף נתונים",IF(J17&lt;='הגדרות ורווח'!$B$26,"מצוין: להגדיל תקציב ב-20%",IF(J17&lt;='הגדרות ורווח'!$B$25,"מרוויח: להחזיק, להחליף מודעות חלשות","מפסיד: לעצור ולשנות")))))))</f>
        <v/>
      </c>
    </row>
    <row r="18">
      <c r="A18" s="17" t="n"/>
      <c r="B18" s="5" t="n"/>
      <c r="C18" s="5" t="n"/>
      <c r="D18" s="5" t="n"/>
      <c r="E18" s="5" t="n"/>
      <c r="F18" s="5" t="n"/>
      <c r="G18" s="5" t="n"/>
      <c r="H18" s="5" t="n"/>
      <c r="I18" s="18">
        <f>IF(D18&gt;0,E18/D18,"")</f>
        <v/>
      </c>
      <c r="J18" s="10">
        <f>IF(G18&gt;0,C18/G18,"")</f>
        <v/>
      </c>
      <c r="K18" s="19">
        <f>IF(C18&gt;0,H18/C18,"")</f>
        <v/>
      </c>
      <c r="L18" s="14">
        <f>IF(C18="","",G18*'הגדרות ורווח'!$B$24-C18)</f>
        <v/>
      </c>
      <c r="M18" s="2">
        <f>IF(C18="","",IF(AND(G18=0,F18=0,C18&gt;=80),"לכבות את המודעה (80 ₪ בלי הוספה לסל)",IF(AND(D18&gt;1000,I18&lt;0.007),"ההוק לא עובד: קריאייטיב חדש",IF(AND(F18&gt;=3,G18=0),"יש הוספות לסל ואין רכישות: לבדוק תשלום וסליקה",IF(G18=0,"להמשיך לאסוף נתונים",IF(J18&lt;='הגדרות ורווח'!$B$26,"מצוין: להגדיל תקציב ב-20%",IF(J18&lt;='הגדרות ורווח'!$B$25,"מרוויח: להחזיק, להחליף מודעות חלשות","מפסיד: לעצור ולשנות")))))))</f>
        <v/>
      </c>
    </row>
    <row r="19">
      <c r="A19" s="17" t="n"/>
      <c r="B19" s="5" t="n"/>
      <c r="C19" s="5" t="n"/>
      <c r="D19" s="5" t="n"/>
      <c r="E19" s="5" t="n"/>
      <c r="F19" s="5" t="n"/>
      <c r="G19" s="5" t="n"/>
      <c r="H19" s="5" t="n"/>
      <c r="I19" s="18">
        <f>IF(D19&gt;0,E19/D19,"")</f>
        <v/>
      </c>
      <c r="J19" s="10">
        <f>IF(G19&gt;0,C19/G19,"")</f>
        <v/>
      </c>
      <c r="K19" s="19">
        <f>IF(C19&gt;0,H19/C19,"")</f>
        <v/>
      </c>
      <c r="L19" s="14">
        <f>IF(C19="","",G19*'הגדרות ורווח'!$B$24-C19)</f>
        <v/>
      </c>
      <c r="M19" s="2">
        <f>IF(C19="","",IF(AND(G19=0,F19=0,C19&gt;=80),"לכבות את המודעה (80 ₪ בלי הוספה לסל)",IF(AND(D19&gt;1000,I19&lt;0.007),"ההוק לא עובד: קריאייטיב חדש",IF(AND(F19&gt;=3,G19=0),"יש הוספות לסל ואין רכישות: לבדוק תשלום וסליקה",IF(G19=0,"להמשיך לאסוף נתונים",IF(J19&lt;='הגדרות ורווח'!$B$26,"מצוין: להגדיל תקציב ב-20%",IF(J19&lt;='הגדרות ורווח'!$B$25,"מרוויח: להחזיק, להחליף מודעות חלשות","מפסיד: לעצור ולשנות")))))))</f>
        <v/>
      </c>
    </row>
    <row r="20">
      <c r="A20" s="17" t="n"/>
      <c r="B20" s="5" t="n"/>
      <c r="C20" s="5" t="n"/>
      <c r="D20" s="5" t="n"/>
      <c r="E20" s="5" t="n"/>
      <c r="F20" s="5" t="n"/>
      <c r="G20" s="5" t="n"/>
      <c r="H20" s="5" t="n"/>
      <c r="I20" s="18">
        <f>IF(D20&gt;0,E20/D20,"")</f>
        <v/>
      </c>
      <c r="J20" s="10">
        <f>IF(G20&gt;0,C20/G20,"")</f>
        <v/>
      </c>
      <c r="K20" s="19">
        <f>IF(C20&gt;0,H20/C20,"")</f>
        <v/>
      </c>
      <c r="L20" s="14">
        <f>IF(C20="","",G20*'הגדרות ורווח'!$B$24-C20)</f>
        <v/>
      </c>
      <c r="M20" s="2">
        <f>IF(C20="","",IF(AND(G20=0,F20=0,C20&gt;=80),"לכבות את המודעה (80 ₪ בלי הוספה לסל)",IF(AND(D20&gt;1000,I20&lt;0.007),"ההוק לא עובד: קריאייטיב חדש",IF(AND(F20&gt;=3,G20=0),"יש הוספות לסל ואין רכישות: לבדוק תשלום וסליקה",IF(G20=0,"להמשיך לאסוף נתונים",IF(J20&lt;='הגדרות ורווח'!$B$26,"מצוין: להגדיל תקציב ב-20%",IF(J20&lt;='הגדרות ורווח'!$B$25,"מרוויח: להחזיק, להחליף מודעות חלשות","מפסיד: לעצור ולשנות")))))))</f>
        <v/>
      </c>
    </row>
    <row r="21">
      <c r="A21" s="17" t="n"/>
      <c r="B21" s="5" t="n"/>
      <c r="C21" s="5" t="n"/>
      <c r="D21" s="5" t="n"/>
      <c r="E21" s="5" t="n"/>
      <c r="F21" s="5" t="n"/>
      <c r="G21" s="5" t="n"/>
      <c r="H21" s="5" t="n"/>
      <c r="I21" s="18">
        <f>IF(D21&gt;0,E21/D21,"")</f>
        <v/>
      </c>
      <c r="J21" s="10">
        <f>IF(G21&gt;0,C21/G21,"")</f>
        <v/>
      </c>
      <c r="K21" s="19">
        <f>IF(C21&gt;0,H21/C21,"")</f>
        <v/>
      </c>
      <c r="L21" s="14">
        <f>IF(C21="","",G21*'הגדרות ורווח'!$B$24-C21)</f>
        <v/>
      </c>
      <c r="M21" s="2">
        <f>IF(C21="","",IF(AND(G21=0,F21=0,C21&gt;=80),"לכבות את המודעה (80 ₪ בלי הוספה לסל)",IF(AND(D21&gt;1000,I21&lt;0.007),"ההוק לא עובד: קריאייטיב חדש",IF(AND(F21&gt;=3,G21=0),"יש הוספות לסל ואין רכישות: לבדוק תשלום וסליקה",IF(G21=0,"להמשיך לאסוף נתונים",IF(J21&lt;='הגדרות ורווח'!$B$26,"מצוין: להגדיל תקציב ב-20%",IF(J21&lt;='הגדרות ורווח'!$B$25,"מרוויח: להחזיק, להחליף מודעות חלשות","מפסיד: לעצור ולשנות")))))))</f>
        <v/>
      </c>
    </row>
    <row r="22">
      <c r="A22" s="17" t="n"/>
      <c r="B22" s="5" t="n"/>
      <c r="C22" s="5" t="n"/>
      <c r="D22" s="5" t="n"/>
      <c r="E22" s="5" t="n"/>
      <c r="F22" s="5" t="n"/>
      <c r="G22" s="5" t="n"/>
      <c r="H22" s="5" t="n"/>
      <c r="I22" s="18">
        <f>IF(D22&gt;0,E22/D22,"")</f>
        <v/>
      </c>
      <c r="J22" s="10">
        <f>IF(G22&gt;0,C22/G22,"")</f>
        <v/>
      </c>
      <c r="K22" s="19">
        <f>IF(C22&gt;0,H22/C22,"")</f>
        <v/>
      </c>
      <c r="L22" s="14">
        <f>IF(C22="","",G22*'הגדרות ורווח'!$B$24-C22)</f>
        <v/>
      </c>
      <c r="M22" s="2">
        <f>IF(C22="","",IF(AND(G22=0,F22=0,C22&gt;=80),"לכבות את המודעה (80 ₪ בלי הוספה לסל)",IF(AND(D22&gt;1000,I22&lt;0.007),"ההוק לא עובד: קריאייטיב חדש",IF(AND(F22&gt;=3,G22=0),"יש הוספות לסל ואין רכישות: לבדוק תשלום וסליקה",IF(G22=0,"להמשיך לאסוף נתונים",IF(J22&lt;='הגדרות ורווח'!$B$26,"מצוין: להגדיל תקציב ב-20%",IF(J22&lt;='הגדרות ורווח'!$B$25,"מרוויח: להחזיק, להחליף מודעות חלשות","מפסיד: לעצור ולשנות")))))))</f>
        <v/>
      </c>
    </row>
    <row r="23">
      <c r="A23" s="17" t="n"/>
      <c r="B23" s="5" t="n"/>
      <c r="C23" s="5" t="n"/>
      <c r="D23" s="5" t="n"/>
      <c r="E23" s="5" t="n"/>
      <c r="F23" s="5" t="n"/>
      <c r="G23" s="5" t="n"/>
      <c r="H23" s="5" t="n"/>
      <c r="I23" s="18">
        <f>IF(D23&gt;0,E23/D23,"")</f>
        <v/>
      </c>
      <c r="J23" s="10">
        <f>IF(G23&gt;0,C23/G23,"")</f>
        <v/>
      </c>
      <c r="K23" s="19">
        <f>IF(C23&gt;0,H23/C23,"")</f>
        <v/>
      </c>
      <c r="L23" s="14">
        <f>IF(C23="","",G23*'הגדרות ורווח'!$B$24-C23)</f>
        <v/>
      </c>
      <c r="M23" s="2">
        <f>IF(C23="","",IF(AND(G23=0,F23=0,C23&gt;=80),"לכבות את המודעה (80 ₪ בלי הוספה לסל)",IF(AND(D23&gt;1000,I23&lt;0.007),"ההוק לא עובד: קריאייטיב חדש",IF(AND(F23&gt;=3,G23=0),"יש הוספות לסל ואין רכישות: לבדוק תשלום וסליקה",IF(G23=0,"להמשיך לאסוף נתונים",IF(J23&lt;='הגדרות ורווח'!$B$26,"מצוין: להגדיל תקציב ב-20%",IF(J23&lt;='הגדרות ורווח'!$B$25,"מרוויח: להחזיק, להחליף מודעות חלשות","מפסיד: לעצור ולשנות")))))))</f>
        <v/>
      </c>
    </row>
    <row r="24">
      <c r="A24" s="17" t="n"/>
      <c r="B24" s="5" t="n"/>
      <c r="C24" s="5" t="n"/>
      <c r="D24" s="5" t="n"/>
      <c r="E24" s="5" t="n"/>
      <c r="F24" s="5" t="n"/>
      <c r="G24" s="5" t="n"/>
      <c r="H24" s="5" t="n"/>
      <c r="I24" s="18">
        <f>IF(D24&gt;0,E24/D24,"")</f>
        <v/>
      </c>
      <c r="J24" s="10">
        <f>IF(G24&gt;0,C24/G24,"")</f>
        <v/>
      </c>
      <c r="K24" s="19">
        <f>IF(C24&gt;0,H24/C24,"")</f>
        <v/>
      </c>
      <c r="L24" s="14">
        <f>IF(C24="","",G24*'הגדרות ורווח'!$B$24-C24)</f>
        <v/>
      </c>
      <c r="M24" s="2">
        <f>IF(C24="","",IF(AND(G24=0,F24=0,C24&gt;=80),"לכבות את המודעה (80 ₪ בלי הוספה לסל)",IF(AND(D24&gt;1000,I24&lt;0.007),"ההוק לא עובד: קריאייטיב חדש",IF(AND(F24&gt;=3,G24=0),"יש הוספות לסל ואין רכישות: לבדוק תשלום וסליקה",IF(G24=0,"להמשיך לאסוף נתונים",IF(J24&lt;='הגדרות ורווח'!$B$26,"מצוין: להגדיל תקציב ב-20%",IF(J24&lt;='הגדרות ורווח'!$B$25,"מרוויח: להחזיק, להחליף מודעות חלשות","מפסיד: לעצור ולשנות")))))))</f>
        <v/>
      </c>
    </row>
    <row r="25">
      <c r="A25" s="17" t="n"/>
      <c r="B25" s="5" t="n"/>
      <c r="C25" s="5" t="n"/>
      <c r="D25" s="5" t="n"/>
      <c r="E25" s="5" t="n"/>
      <c r="F25" s="5" t="n"/>
      <c r="G25" s="5" t="n"/>
      <c r="H25" s="5" t="n"/>
      <c r="I25" s="18">
        <f>IF(D25&gt;0,E25/D25,"")</f>
        <v/>
      </c>
      <c r="J25" s="10">
        <f>IF(G25&gt;0,C25/G25,"")</f>
        <v/>
      </c>
      <c r="K25" s="19">
        <f>IF(C25&gt;0,H25/C25,"")</f>
        <v/>
      </c>
      <c r="L25" s="14">
        <f>IF(C25="","",G25*'הגדרות ורווח'!$B$24-C25)</f>
        <v/>
      </c>
      <c r="M25" s="2">
        <f>IF(C25="","",IF(AND(G25=0,F25=0,C25&gt;=80),"לכבות את המודעה (80 ₪ בלי הוספה לסל)",IF(AND(D25&gt;1000,I25&lt;0.007),"ההוק לא עובד: קריאייטיב חדש",IF(AND(F25&gt;=3,G25=0),"יש הוספות לסל ואין רכישות: לבדוק תשלום וסליקה",IF(G25=0,"להמשיך לאסוף נתונים",IF(J25&lt;='הגדרות ורווח'!$B$26,"מצוין: להגדיל תקציב ב-20%",IF(J25&lt;='הגדרות ורווח'!$B$25,"מרוויח: להחזיק, להחליף מודעות חלשות","מפסיד: לעצור ולשנות")))))))</f>
        <v/>
      </c>
    </row>
    <row r="26">
      <c r="A26" s="17" t="n"/>
      <c r="B26" s="5" t="n"/>
      <c r="C26" s="5" t="n"/>
      <c r="D26" s="5" t="n"/>
      <c r="E26" s="5" t="n"/>
      <c r="F26" s="5" t="n"/>
      <c r="G26" s="5" t="n"/>
      <c r="H26" s="5" t="n"/>
      <c r="I26" s="18">
        <f>IF(D26&gt;0,E26/D26,"")</f>
        <v/>
      </c>
      <c r="J26" s="10">
        <f>IF(G26&gt;0,C26/G26,"")</f>
        <v/>
      </c>
      <c r="K26" s="19">
        <f>IF(C26&gt;0,H26/C26,"")</f>
        <v/>
      </c>
      <c r="L26" s="14">
        <f>IF(C26="","",G26*'הגדרות ורווח'!$B$24-C26)</f>
        <v/>
      </c>
      <c r="M26" s="2">
        <f>IF(C26="","",IF(AND(G26=0,F26=0,C26&gt;=80),"לכבות את המודעה (80 ₪ בלי הוספה לסל)",IF(AND(D26&gt;1000,I26&lt;0.007),"ההוק לא עובד: קריאייטיב חדש",IF(AND(F26&gt;=3,G26=0),"יש הוספות לסל ואין רכישות: לבדוק תשלום וסליקה",IF(G26=0,"להמשיך לאסוף נתונים",IF(J26&lt;='הגדרות ורווח'!$B$26,"מצוין: להגדיל תקציב ב-20%",IF(J26&lt;='הגדרות ורווח'!$B$25,"מרוויח: להחזיק, להחליף מודעות חלשות","מפסיד: לעצור ולשנות")))))))</f>
        <v/>
      </c>
    </row>
    <row r="27">
      <c r="A27" s="17" t="n"/>
      <c r="B27" s="5" t="n"/>
      <c r="C27" s="5" t="n"/>
      <c r="D27" s="5" t="n"/>
      <c r="E27" s="5" t="n"/>
      <c r="F27" s="5" t="n"/>
      <c r="G27" s="5" t="n"/>
      <c r="H27" s="5" t="n"/>
      <c r="I27" s="18">
        <f>IF(D27&gt;0,E27/D27,"")</f>
        <v/>
      </c>
      <c r="J27" s="10">
        <f>IF(G27&gt;0,C27/G27,"")</f>
        <v/>
      </c>
      <c r="K27" s="19">
        <f>IF(C27&gt;0,H27/C27,"")</f>
        <v/>
      </c>
      <c r="L27" s="14">
        <f>IF(C27="","",G27*'הגדרות ורווח'!$B$24-C27)</f>
        <v/>
      </c>
      <c r="M27" s="2">
        <f>IF(C27="","",IF(AND(G27=0,F27=0,C27&gt;=80),"לכבות את המודעה (80 ₪ בלי הוספה לסל)",IF(AND(D27&gt;1000,I27&lt;0.007),"ההוק לא עובד: קריאייטיב חדש",IF(AND(F27&gt;=3,G27=0),"יש הוספות לסל ואין רכישות: לבדוק תשלום וסליקה",IF(G27=0,"להמשיך לאסוף נתונים",IF(J27&lt;='הגדרות ורווח'!$B$26,"מצוין: להגדיל תקציב ב-20%",IF(J27&lt;='הגדרות ורווח'!$B$25,"מרוויח: להחזיק, להחליף מודעות חלשות","מפסיד: לעצור ולשנות")))))))</f>
        <v/>
      </c>
    </row>
    <row r="28">
      <c r="A28" s="17" t="n"/>
      <c r="B28" s="5" t="n"/>
      <c r="C28" s="5" t="n"/>
      <c r="D28" s="5" t="n"/>
      <c r="E28" s="5" t="n"/>
      <c r="F28" s="5" t="n"/>
      <c r="G28" s="5" t="n"/>
      <c r="H28" s="5" t="n"/>
      <c r="I28" s="18">
        <f>IF(D28&gt;0,E28/D28,"")</f>
        <v/>
      </c>
      <c r="J28" s="10">
        <f>IF(G28&gt;0,C28/G28,"")</f>
        <v/>
      </c>
      <c r="K28" s="19">
        <f>IF(C28&gt;0,H28/C28,"")</f>
        <v/>
      </c>
      <c r="L28" s="14">
        <f>IF(C28="","",G28*'הגדרות ורווח'!$B$24-C28)</f>
        <v/>
      </c>
      <c r="M28" s="2">
        <f>IF(C28="","",IF(AND(G28=0,F28=0,C28&gt;=80),"לכבות את המודעה (80 ₪ בלי הוספה לסל)",IF(AND(D28&gt;1000,I28&lt;0.007),"ההוק לא עובד: קריאייטיב חדש",IF(AND(F28&gt;=3,G28=0),"יש הוספות לסל ואין רכישות: לבדוק תשלום וסליקה",IF(G28=0,"להמשיך לאסוף נתונים",IF(J28&lt;='הגדרות ורווח'!$B$26,"מצוין: להגדיל תקציב ב-20%",IF(J28&lt;='הגדרות ורווח'!$B$25,"מרוויח: להחזיק, להחליף מודעות חלשות","מפסיד: לעצור ולשנות")))))))</f>
        <v/>
      </c>
    </row>
    <row r="29">
      <c r="A29" s="17" t="n"/>
      <c r="B29" s="5" t="n"/>
      <c r="C29" s="5" t="n"/>
      <c r="D29" s="5" t="n"/>
      <c r="E29" s="5" t="n"/>
      <c r="F29" s="5" t="n"/>
      <c r="G29" s="5" t="n"/>
      <c r="H29" s="5" t="n"/>
      <c r="I29" s="18">
        <f>IF(D29&gt;0,E29/D29,"")</f>
        <v/>
      </c>
      <c r="J29" s="10">
        <f>IF(G29&gt;0,C29/G29,"")</f>
        <v/>
      </c>
      <c r="K29" s="19">
        <f>IF(C29&gt;0,H29/C29,"")</f>
        <v/>
      </c>
      <c r="L29" s="14">
        <f>IF(C29="","",G29*'הגדרות ורווח'!$B$24-C29)</f>
        <v/>
      </c>
      <c r="M29" s="2">
        <f>IF(C29="","",IF(AND(G29=0,F29=0,C29&gt;=80),"לכבות את המודעה (80 ₪ בלי הוספה לסל)",IF(AND(D29&gt;1000,I29&lt;0.007),"ההוק לא עובד: קריאייטיב חדש",IF(AND(F29&gt;=3,G29=0),"יש הוספות לסל ואין רכישות: לבדוק תשלום וסליקה",IF(G29=0,"להמשיך לאסוף נתונים",IF(J29&lt;='הגדרות ורווח'!$B$26,"מצוין: להגדיל תקציב ב-20%",IF(J29&lt;='הגדרות ורווח'!$B$25,"מרוויח: להחזיק, להחליף מודעות חלשות","מפסיד: לעצור ולשנות")))))))</f>
        <v/>
      </c>
    </row>
    <row r="30">
      <c r="A30" s="17" t="n"/>
      <c r="B30" s="5" t="n"/>
      <c r="C30" s="5" t="n"/>
      <c r="D30" s="5" t="n"/>
      <c r="E30" s="5" t="n"/>
      <c r="F30" s="5" t="n"/>
      <c r="G30" s="5" t="n"/>
      <c r="H30" s="5" t="n"/>
      <c r="I30" s="18">
        <f>IF(D30&gt;0,E30/D30,"")</f>
        <v/>
      </c>
      <c r="J30" s="10">
        <f>IF(G30&gt;0,C30/G30,"")</f>
        <v/>
      </c>
      <c r="K30" s="19">
        <f>IF(C30&gt;0,H30/C30,"")</f>
        <v/>
      </c>
      <c r="L30" s="14">
        <f>IF(C30="","",G30*'הגדרות ורווח'!$B$24-C30)</f>
        <v/>
      </c>
      <c r="M30" s="2">
        <f>IF(C30="","",IF(AND(G30=0,F30=0,C30&gt;=80),"לכבות את המודעה (80 ₪ בלי הוספה לסל)",IF(AND(D30&gt;1000,I30&lt;0.007),"ההוק לא עובד: קריאייטיב חדש",IF(AND(F30&gt;=3,G30=0),"יש הוספות לסל ואין רכישות: לבדוק תשלום וסליקה",IF(G30=0,"להמשיך לאסוף נתונים",IF(J30&lt;='הגדרות ורווח'!$B$26,"מצוין: להגדיל תקציב ב-20%",IF(J30&lt;='הגדרות ורווח'!$B$25,"מרוויח: להחזיק, להחליף מודעות חלשות","מפסיד: לעצור ולשנות")))))))</f>
        <v/>
      </c>
    </row>
    <row r="31">
      <c r="A31" s="17" t="n"/>
      <c r="B31" s="5" t="n"/>
      <c r="C31" s="5" t="n"/>
      <c r="D31" s="5" t="n"/>
      <c r="E31" s="5" t="n"/>
      <c r="F31" s="5" t="n"/>
      <c r="G31" s="5" t="n"/>
      <c r="H31" s="5" t="n"/>
      <c r="I31" s="18">
        <f>IF(D31&gt;0,E31/D31,"")</f>
        <v/>
      </c>
      <c r="J31" s="10">
        <f>IF(G31&gt;0,C31/G31,"")</f>
        <v/>
      </c>
      <c r="K31" s="19">
        <f>IF(C31&gt;0,H31/C31,"")</f>
        <v/>
      </c>
      <c r="L31" s="14">
        <f>IF(C31="","",G31*'הגדרות ורווח'!$B$24-C31)</f>
        <v/>
      </c>
      <c r="M31" s="2">
        <f>IF(C31="","",IF(AND(G31=0,F31=0,C31&gt;=80),"לכבות את המודעה (80 ₪ בלי הוספה לסל)",IF(AND(D31&gt;1000,I31&lt;0.007),"ההוק לא עובד: קריאייטיב חדש",IF(AND(F31&gt;=3,G31=0),"יש הוספות לסל ואין רכישות: לבדוק תשלום וסליקה",IF(G31=0,"להמשיך לאסוף נתונים",IF(J31&lt;='הגדרות ורווח'!$B$26,"מצוין: להגדיל תקציב ב-20%",IF(J31&lt;='הגדרות ורווח'!$B$25,"מרוויח: להחזיק, להחליף מודעות חלשות","מפסיד: לעצור ולשנות")))))))</f>
        <v/>
      </c>
    </row>
    <row r="32">
      <c r="A32" s="17" t="n"/>
      <c r="B32" s="5" t="n"/>
      <c r="C32" s="5" t="n"/>
      <c r="D32" s="5" t="n"/>
      <c r="E32" s="5" t="n"/>
      <c r="F32" s="5" t="n"/>
      <c r="G32" s="5" t="n"/>
      <c r="H32" s="5" t="n"/>
      <c r="I32" s="18">
        <f>IF(D32&gt;0,E32/D32,"")</f>
        <v/>
      </c>
      <c r="J32" s="10">
        <f>IF(G32&gt;0,C32/G32,"")</f>
        <v/>
      </c>
      <c r="K32" s="19">
        <f>IF(C32&gt;0,H32/C32,"")</f>
        <v/>
      </c>
      <c r="L32" s="14">
        <f>IF(C32="","",G32*'הגדרות ורווח'!$B$24-C32)</f>
        <v/>
      </c>
      <c r="M32" s="2">
        <f>IF(C32="","",IF(AND(G32=0,F32=0,C32&gt;=80),"לכבות את המודעה (80 ₪ בלי הוספה לסל)",IF(AND(D32&gt;1000,I32&lt;0.007),"ההוק לא עובד: קריאייטיב חדש",IF(AND(F32&gt;=3,G32=0),"יש הוספות לסל ואין רכישות: לבדוק תשלום וסליקה",IF(G32=0,"להמשיך לאסוף נתונים",IF(J32&lt;='הגדרות ורווח'!$B$26,"מצוין: להגדיל תקציב ב-20%",IF(J32&lt;='הגדרות ורווח'!$B$25,"מרוויח: להחזיק, להחליף מודעות חלשות","מפסיד: לעצור ולשנות")))))))</f>
        <v/>
      </c>
    </row>
    <row r="33">
      <c r="A33" s="17" t="n"/>
      <c r="B33" s="5" t="n"/>
      <c r="C33" s="5" t="n"/>
      <c r="D33" s="5" t="n"/>
      <c r="E33" s="5" t="n"/>
      <c r="F33" s="5" t="n"/>
      <c r="G33" s="5" t="n"/>
      <c r="H33" s="5" t="n"/>
      <c r="I33" s="18">
        <f>IF(D33&gt;0,E33/D33,"")</f>
        <v/>
      </c>
      <c r="J33" s="10">
        <f>IF(G33&gt;0,C33/G33,"")</f>
        <v/>
      </c>
      <c r="K33" s="19">
        <f>IF(C33&gt;0,H33/C33,"")</f>
        <v/>
      </c>
      <c r="L33" s="14">
        <f>IF(C33="","",G33*'הגדרות ורווח'!$B$24-C33)</f>
        <v/>
      </c>
      <c r="M33" s="2">
        <f>IF(C33="","",IF(AND(G33=0,F33=0,C33&gt;=80),"לכבות את המודעה (80 ₪ בלי הוספה לסל)",IF(AND(D33&gt;1000,I33&lt;0.007),"ההוק לא עובד: קריאייטיב חדש",IF(AND(F33&gt;=3,G33=0),"יש הוספות לסל ואין רכישות: לבדוק תשלום וסליקה",IF(G33=0,"להמשיך לאסוף נתונים",IF(J33&lt;='הגדרות ורווח'!$B$26,"מצוין: להגדיל תקציב ב-20%",IF(J33&lt;='הגדרות ורווח'!$B$25,"מרוויח: להחזיק, להחליף מודעות חלשות","מפסיד: לעצור ולשנות")))))))</f>
        <v/>
      </c>
    </row>
    <row r="34">
      <c r="A34" s="17" t="n"/>
      <c r="B34" s="5" t="n"/>
      <c r="C34" s="5" t="n"/>
      <c r="D34" s="5" t="n"/>
      <c r="E34" s="5" t="n"/>
      <c r="F34" s="5" t="n"/>
      <c r="G34" s="5" t="n"/>
      <c r="H34" s="5" t="n"/>
      <c r="I34" s="18">
        <f>IF(D34&gt;0,E34/D34,"")</f>
        <v/>
      </c>
      <c r="J34" s="10">
        <f>IF(G34&gt;0,C34/G34,"")</f>
        <v/>
      </c>
      <c r="K34" s="19">
        <f>IF(C34&gt;0,H34/C34,"")</f>
        <v/>
      </c>
      <c r="L34" s="14">
        <f>IF(C34="","",G34*'הגדרות ורווח'!$B$24-C34)</f>
        <v/>
      </c>
      <c r="M34" s="2">
        <f>IF(C34="","",IF(AND(G34=0,F34=0,C34&gt;=80),"לכבות את המודעה (80 ₪ בלי הוספה לסל)",IF(AND(D34&gt;1000,I34&lt;0.007),"ההוק לא עובד: קריאייטיב חדש",IF(AND(F34&gt;=3,G34=0),"יש הוספות לסל ואין רכישות: לבדוק תשלום וסליקה",IF(G34=0,"להמשיך לאסוף נתונים",IF(J34&lt;='הגדרות ורווח'!$B$26,"מצוין: להגדיל תקציב ב-20%",IF(J34&lt;='הגדרות ורווח'!$B$25,"מרוויח: להחזיק, להחליף מודעות חלשות","מפסיד: לעצור ולשנות")))))))</f>
        <v/>
      </c>
    </row>
    <row r="35">
      <c r="A35" s="17" t="n"/>
      <c r="B35" s="5" t="n"/>
      <c r="C35" s="5" t="n"/>
      <c r="D35" s="5" t="n"/>
      <c r="E35" s="5" t="n"/>
      <c r="F35" s="5" t="n"/>
      <c r="G35" s="5" t="n"/>
      <c r="H35" s="5" t="n"/>
      <c r="I35" s="18">
        <f>IF(D35&gt;0,E35/D35,"")</f>
        <v/>
      </c>
      <c r="J35" s="10">
        <f>IF(G35&gt;0,C35/G35,"")</f>
        <v/>
      </c>
      <c r="K35" s="19">
        <f>IF(C35&gt;0,H35/C35,"")</f>
        <v/>
      </c>
      <c r="L35" s="14">
        <f>IF(C35="","",G35*'הגדרות ורווח'!$B$24-C35)</f>
        <v/>
      </c>
      <c r="M35" s="2">
        <f>IF(C35="","",IF(AND(G35=0,F35=0,C35&gt;=80),"לכבות את המודעה (80 ₪ בלי הוספה לסל)",IF(AND(D35&gt;1000,I35&lt;0.007),"ההוק לא עובד: קריאייטיב חדש",IF(AND(F35&gt;=3,G35=0),"יש הוספות לסל ואין רכישות: לבדוק תשלום וסליקה",IF(G35=0,"להמשיך לאסוף נתונים",IF(J35&lt;='הגדרות ורווח'!$B$26,"מצוין: להגדיל תקציב ב-20%",IF(J35&lt;='הגדרות ורווח'!$B$25,"מרוויח: להחזיק, להחליף מודעות חלשות","מפסיד: לעצור ולשנות")))))))</f>
        <v/>
      </c>
    </row>
    <row r="36">
      <c r="A36" s="17" t="n"/>
      <c r="B36" s="5" t="n"/>
      <c r="C36" s="5" t="n"/>
      <c r="D36" s="5" t="n"/>
      <c r="E36" s="5" t="n"/>
      <c r="F36" s="5" t="n"/>
      <c r="G36" s="5" t="n"/>
      <c r="H36" s="5" t="n"/>
      <c r="I36" s="18">
        <f>IF(D36&gt;0,E36/D36,"")</f>
        <v/>
      </c>
      <c r="J36" s="10">
        <f>IF(G36&gt;0,C36/G36,"")</f>
        <v/>
      </c>
      <c r="K36" s="19">
        <f>IF(C36&gt;0,H36/C36,"")</f>
        <v/>
      </c>
      <c r="L36" s="14">
        <f>IF(C36="","",G36*'הגדרות ורווח'!$B$24-C36)</f>
        <v/>
      </c>
      <c r="M36" s="2">
        <f>IF(C36="","",IF(AND(G36=0,F36=0,C36&gt;=80),"לכבות את המודעה (80 ₪ בלי הוספה לסל)",IF(AND(D36&gt;1000,I36&lt;0.007),"ההוק לא עובד: קריאייטיב חדש",IF(AND(F36&gt;=3,G36=0),"יש הוספות לסל ואין רכישות: לבדוק תשלום וסליקה",IF(G36=0,"להמשיך לאסוף נתונים",IF(J36&lt;='הגדרות ורווח'!$B$26,"מצוין: להגדיל תקציב ב-20%",IF(J36&lt;='הגדרות ורווח'!$B$25,"מרוויח: להחזיק, להחליף מודעות חלשות","מפסיד: לעצור ולשנות")))))))</f>
        <v/>
      </c>
    </row>
    <row r="37">
      <c r="A37" s="17" t="n"/>
      <c r="B37" s="5" t="n"/>
      <c r="C37" s="5" t="n"/>
      <c r="D37" s="5" t="n"/>
      <c r="E37" s="5" t="n"/>
      <c r="F37" s="5" t="n"/>
      <c r="G37" s="5" t="n"/>
      <c r="H37" s="5" t="n"/>
      <c r="I37" s="18">
        <f>IF(D37&gt;0,E37/D37,"")</f>
        <v/>
      </c>
      <c r="J37" s="10">
        <f>IF(G37&gt;0,C37/G37,"")</f>
        <v/>
      </c>
      <c r="K37" s="19">
        <f>IF(C37&gt;0,H37/C37,"")</f>
        <v/>
      </c>
      <c r="L37" s="14">
        <f>IF(C37="","",G37*'הגדרות ורווח'!$B$24-C37)</f>
        <v/>
      </c>
      <c r="M37" s="2">
        <f>IF(C37="","",IF(AND(G37=0,F37=0,C37&gt;=80),"לכבות את המודעה (80 ₪ בלי הוספה לסל)",IF(AND(D37&gt;1000,I37&lt;0.007),"ההוק לא עובד: קריאייטיב חדש",IF(AND(F37&gt;=3,G37=0),"יש הוספות לסל ואין רכישות: לבדוק תשלום וסליקה",IF(G37=0,"להמשיך לאסוף נתונים",IF(J37&lt;='הגדרות ורווח'!$B$26,"מצוין: להגדיל תקציב ב-20%",IF(J37&lt;='הגדרות ורווח'!$B$25,"מרוויח: להחזיק, להחליף מודעות חלשות","מפסיד: לעצור ולשנות")))))))</f>
        <v/>
      </c>
    </row>
    <row r="38">
      <c r="A38" s="17" t="n"/>
      <c r="B38" s="5" t="n"/>
      <c r="C38" s="5" t="n"/>
      <c r="D38" s="5" t="n"/>
      <c r="E38" s="5" t="n"/>
      <c r="F38" s="5" t="n"/>
      <c r="G38" s="5" t="n"/>
      <c r="H38" s="5" t="n"/>
      <c r="I38" s="18">
        <f>IF(D38&gt;0,E38/D38,"")</f>
        <v/>
      </c>
      <c r="J38" s="10">
        <f>IF(G38&gt;0,C38/G38,"")</f>
        <v/>
      </c>
      <c r="K38" s="19">
        <f>IF(C38&gt;0,H38/C38,"")</f>
        <v/>
      </c>
      <c r="L38" s="14">
        <f>IF(C38="","",G38*'הגדרות ורווח'!$B$24-C38)</f>
        <v/>
      </c>
      <c r="M38" s="2">
        <f>IF(C38="","",IF(AND(G38=0,F38=0,C38&gt;=80),"לכבות את המודעה (80 ₪ בלי הוספה לסל)",IF(AND(D38&gt;1000,I38&lt;0.007),"ההוק לא עובד: קריאייטיב חדש",IF(AND(F38&gt;=3,G38=0),"יש הוספות לסל ואין רכישות: לבדוק תשלום וסליקה",IF(G38=0,"להמשיך לאסוף נתונים",IF(J38&lt;='הגדרות ורווח'!$B$26,"מצוין: להגדיל תקציב ב-20%",IF(J38&lt;='הגדרות ורווח'!$B$25,"מרוויח: להחזיק, להחליף מודעות חלשות","מפסיד: לעצור ולשנות")))))))</f>
        <v/>
      </c>
    </row>
    <row r="39">
      <c r="A39" s="17" t="n"/>
      <c r="B39" s="5" t="n"/>
      <c r="C39" s="5" t="n"/>
      <c r="D39" s="5" t="n"/>
      <c r="E39" s="5" t="n"/>
      <c r="F39" s="5" t="n"/>
      <c r="G39" s="5" t="n"/>
      <c r="H39" s="5" t="n"/>
      <c r="I39" s="18">
        <f>IF(D39&gt;0,E39/D39,"")</f>
        <v/>
      </c>
      <c r="J39" s="10">
        <f>IF(G39&gt;0,C39/G39,"")</f>
        <v/>
      </c>
      <c r="K39" s="19">
        <f>IF(C39&gt;0,H39/C39,"")</f>
        <v/>
      </c>
      <c r="L39" s="14">
        <f>IF(C39="","",G39*'הגדרות ורווח'!$B$24-C39)</f>
        <v/>
      </c>
      <c r="M39" s="2">
        <f>IF(C39="","",IF(AND(G39=0,F39=0,C39&gt;=80),"לכבות את המודעה (80 ₪ בלי הוספה לסל)",IF(AND(D39&gt;1000,I39&lt;0.007),"ההוק לא עובד: קריאייטיב חדש",IF(AND(F39&gt;=3,G39=0),"יש הוספות לסל ואין רכישות: לבדוק תשלום וסליקה",IF(G39=0,"להמשיך לאסוף נתונים",IF(J39&lt;='הגדרות ורווח'!$B$26,"מצוין: להגדיל תקציב ב-20%",IF(J39&lt;='הגדרות ורווח'!$B$25,"מרוויח: להחזיק, להחליף מודעות חלשות","מפסיד: לעצור ולשנות")))))))</f>
        <v/>
      </c>
    </row>
    <row r="40">
      <c r="A40" s="17" t="n"/>
      <c r="B40" s="5" t="n"/>
      <c r="C40" s="5" t="n"/>
      <c r="D40" s="5" t="n"/>
      <c r="E40" s="5" t="n"/>
      <c r="F40" s="5" t="n"/>
      <c r="G40" s="5" t="n"/>
      <c r="H40" s="5" t="n"/>
      <c r="I40" s="18">
        <f>IF(D40&gt;0,E40/D40,"")</f>
        <v/>
      </c>
      <c r="J40" s="10">
        <f>IF(G40&gt;0,C40/G40,"")</f>
        <v/>
      </c>
      <c r="K40" s="19">
        <f>IF(C40&gt;0,H40/C40,"")</f>
        <v/>
      </c>
      <c r="L40" s="14">
        <f>IF(C40="","",G40*'הגדרות ורווח'!$B$24-C40)</f>
        <v/>
      </c>
      <c r="M40" s="2">
        <f>IF(C40="","",IF(AND(G40=0,F40=0,C40&gt;=80),"לכבות את המודעה (80 ₪ בלי הוספה לסל)",IF(AND(D40&gt;1000,I40&lt;0.007),"ההוק לא עובד: קריאייטיב חדש",IF(AND(F40&gt;=3,G40=0),"יש הוספות לסל ואין רכישות: לבדוק תשלום וסליקה",IF(G40=0,"להמשיך לאסוף נתונים",IF(J40&lt;='הגדרות ורווח'!$B$26,"מצוין: להגדיל תקציב ב-20%",IF(J40&lt;='הגדרות ורווח'!$B$25,"מרוויח: להחזיק, להחליף מודעות חלשות","מפסיד: לעצור ולשנות")))))))</f>
        <v/>
      </c>
    </row>
    <row r="41">
      <c r="A41" s="17" t="n"/>
      <c r="B41" s="5" t="n"/>
      <c r="C41" s="5" t="n"/>
      <c r="D41" s="5" t="n"/>
      <c r="E41" s="5" t="n"/>
      <c r="F41" s="5" t="n"/>
      <c r="G41" s="5" t="n"/>
      <c r="H41" s="5" t="n"/>
      <c r="I41" s="18">
        <f>IF(D41&gt;0,E41/D41,"")</f>
        <v/>
      </c>
      <c r="J41" s="10">
        <f>IF(G41&gt;0,C41/G41,"")</f>
        <v/>
      </c>
      <c r="K41" s="19">
        <f>IF(C41&gt;0,H41/C41,"")</f>
        <v/>
      </c>
      <c r="L41" s="14">
        <f>IF(C41="","",G41*'הגדרות ורווח'!$B$24-C41)</f>
        <v/>
      </c>
      <c r="M41" s="2">
        <f>IF(C41="","",IF(AND(G41=0,F41=0,C41&gt;=80),"לכבות את המודעה (80 ₪ בלי הוספה לסל)",IF(AND(D41&gt;1000,I41&lt;0.007),"ההוק לא עובד: קריאייטיב חדש",IF(AND(F41&gt;=3,G41=0),"יש הוספות לסל ואין רכישות: לבדוק תשלום וסליקה",IF(G41=0,"להמשיך לאסוף נתונים",IF(J41&lt;='הגדרות ורווח'!$B$26,"מצוין: להגדיל תקציב ב-20%",IF(J41&lt;='הגדרות ורווח'!$B$25,"מרוויח: להחזיק, להחליף מודעות חלשות","מפסיד: לעצור ולשנות")))))))</f>
        <v/>
      </c>
    </row>
    <row r="42">
      <c r="A42" s="17" t="n"/>
      <c r="B42" s="5" t="n"/>
      <c r="C42" s="5" t="n"/>
      <c r="D42" s="5" t="n"/>
      <c r="E42" s="5" t="n"/>
      <c r="F42" s="5" t="n"/>
      <c r="G42" s="5" t="n"/>
      <c r="H42" s="5" t="n"/>
      <c r="I42" s="18">
        <f>IF(D42&gt;0,E42/D42,"")</f>
        <v/>
      </c>
      <c r="J42" s="10">
        <f>IF(G42&gt;0,C42/G42,"")</f>
        <v/>
      </c>
      <c r="K42" s="19">
        <f>IF(C42&gt;0,H42/C42,"")</f>
        <v/>
      </c>
      <c r="L42" s="14">
        <f>IF(C42="","",G42*'הגדרות ורווח'!$B$24-C42)</f>
        <v/>
      </c>
      <c r="M42" s="2">
        <f>IF(C42="","",IF(AND(G42=0,F42=0,C42&gt;=80),"לכבות את המודעה (80 ₪ בלי הוספה לסל)",IF(AND(D42&gt;1000,I42&lt;0.007),"ההוק לא עובד: קריאייטיב חדש",IF(AND(F42&gt;=3,G42=0),"יש הוספות לסל ואין רכישות: לבדוק תשלום וסליקה",IF(G42=0,"להמשיך לאסוף נתונים",IF(J42&lt;='הגדרות ורווח'!$B$26,"מצוין: להגדיל תקציב ב-20%",IF(J42&lt;='הגדרות ורווח'!$B$25,"מרוויח: להחזיק, להחליף מודעות חלשות","מפסיד: לעצור ולשנות")))))))</f>
        <v/>
      </c>
    </row>
    <row r="43">
      <c r="A43" s="17" t="n"/>
      <c r="B43" s="5" t="n"/>
      <c r="C43" s="5" t="n"/>
      <c r="D43" s="5" t="n"/>
      <c r="E43" s="5" t="n"/>
      <c r="F43" s="5" t="n"/>
      <c r="G43" s="5" t="n"/>
      <c r="H43" s="5" t="n"/>
      <c r="I43" s="18">
        <f>IF(D43&gt;0,E43/D43,"")</f>
        <v/>
      </c>
      <c r="J43" s="10">
        <f>IF(G43&gt;0,C43/G43,"")</f>
        <v/>
      </c>
      <c r="K43" s="19">
        <f>IF(C43&gt;0,H43/C43,"")</f>
        <v/>
      </c>
      <c r="L43" s="14">
        <f>IF(C43="","",G43*'הגדרות ורווח'!$B$24-C43)</f>
        <v/>
      </c>
      <c r="M43" s="2">
        <f>IF(C43="","",IF(AND(G43=0,F43=0,C43&gt;=80),"לכבות את המודעה (80 ₪ בלי הוספה לסל)",IF(AND(D43&gt;1000,I43&lt;0.007),"ההוק לא עובד: קריאייטיב חדש",IF(AND(F43&gt;=3,G43=0),"יש הוספות לסל ואין רכישות: לבדוק תשלום וסליקה",IF(G43=0,"להמשיך לאסוף נתונים",IF(J43&lt;='הגדרות ורווח'!$B$26,"מצוין: להגדיל תקציב ב-20%",IF(J43&lt;='הגדרות ורווח'!$B$25,"מרוויח: להחזיק, להחליף מודעות חלשות","מפסיד: לעצור ולשנות")))))))</f>
        <v/>
      </c>
    </row>
    <row r="44">
      <c r="A44" s="17" t="n"/>
      <c r="B44" s="5" t="n"/>
      <c r="C44" s="5" t="n"/>
      <c r="D44" s="5" t="n"/>
      <c r="E44" s="5" t="n"/>
      <c r="F44" s="5" t="n"/>
      <c r="G44" s="5" t="n"/>
      <c r="H44" s="5" t="n"/>
      <c r="I44" s="18">
        <f>IF(D44&gt;0,E44/D44,"")</f>
        <v/>
      </c>
      <c r="J44" s="10">
        <f>IF(G44&gt;0,C44/G44,"")</f>
        <v/>
      </c>
      <c r="K44" s="19">
        <f>IF(C44&gt;0,H44/C44,"")</f>
        <v/>
      </c>
      <c r="L44" s="14">
        <f>IF(C44="","",G44*'הגדרות ורווח'!$B$24-C44)</f>
        <v/>
      </c>
      <c r="M44" s="2">
        <f>IF(C44="","",IF(AND(G44=0,F44=0,C44&gt;=80),"לכבות את המודעה (80 ₪ בלי הוספה לסל)",IF(AND(D44&gt;1000,I44&lt;0.007),"ההוק לא עובד: קריאייטיב חדש",IF(AND(F44&gt;=3,G44=0),"יש הוספות לסל ואין רכישות: לבדוק תשלום וסליקה",IF(G44=0,"להמשיך לאסוף נתונים",IF(J44&lt;='הגדרות ורווח'!$B$26,"מצוין: להגדיל תקציב ב-20%",IF(J44&lt;='הגדרות ורווח'!$B$25,"מרוויח: להחזיק, להחליף מודעות חלשות","מפסיד: לעצור ולשנות")))))))</f>
        <v/>
      </c>
    </row>
    <row r="45">
      <c r="A45" s="17" t="n"/>
      <c r="B45" s="5" t="n"/>
      <c r="C45" s="5" t="n"/>
      <c r="D45" s="5" t="n"/>
      <c r="E45" s="5" t="n"/>
      <c r="F45" s="5" t="n"/>
      <c r="G45" s="5" t="n"/>
      <c r="H45" s="5" t="n"/>
      <c r="I45" s="18">
        <f>IF(D45&gt;0,E45/D45,"")</f>
        <v/>
      </c>
      <c r="J45" s="10">
        <f>IF(G45&gt;0,C45/G45,"")</f>
        <v/>
      </c>
      <c r="K45" s="19">
        <f>IF(C45&gt;0,H45/C45,"")</f>
        <v/>
      </c>
      <c r="L45" s="14">
        <f>IF(C45="","",G45*'הגדרות ורווח'!$B$24-C45)</f>
        <v/>
      </c>
      <c r="M45" s="2">
        <f>IF(C45="","",IF(AND(G45=0,F45=0,C45&gt;=80),"לכבות את המודעה (80 ₪ בלי הוספה לסל)",IF(AND(D45&gt;1000,I45&lt;0.007),"ההוק לא עובד: קריאייטיב חדש",IF(AND(F45&gt;=3,G45=0),"יש הוספות לסל ואין רכישות: לבדוק תשלום וסליקה",IF(G45=0,"להמשיך לאסוף נתונים",IF(J45&lt;='הגדרות ורווח'!$B$26,"מצוין: להגדיל תקציב ב-20%",IF(J45&lt;='הגדרות ורווח'!$B$25,"מרוויח: להחזיק, להחליף מודעות חלשות","מפסיד: לעצור ולשנות")))))))</f>
        <v/>
      </c>
    </row>
    <row r="46">
      <c r="A46" s="17" t="n"/>
      <c r="B46" s="5" t="n"/>
      <c r="C46" s="5" t="n"/>
      <c r="D46" s="5" t="n"/>
      <c r="E46" s="5" t="n"/>
      <c r="F46" s="5" t="n"/>
      <c r="G46" s="5" t="n"/>
      <c r="H46" s="5" t="n"/>
      <c r="I46" s="18">
        <f>IF(D46&gt;0,E46/D46,"")</f>
        <v/>
      </c>
      <c r="J46" s="10">
        <f>IF(G46&gt;0,C46/G46,"")</f>
        <v/>
      </c>
      <c r="K46" s="19">
        <f>IF(C46&gt;0,H46/C46,"")</f>
        <v/>
      </c>
      <c r="L46" s="14">
        <f>IF(C46="","",G46*'הגדרות ורווח'!$B$24-C46)</f>
        <v/>
      </c>
      <c r="M46" s="2">
        <f>IF(C46="","",IF(AND(G46=0,F46=0,C46&gt;=80),"לכבות את המודעה (80 ₪ בלי הוספה לסל)",IF(AND(D46&gt;1000,I46&lt;0.007),"ההוק לא עובד: קריאייטיב חדש",IF(AND(F46&gt;=3,G46=0),"יש הוספות לסל ואין רכישות: לבדוק תשלום וסליקה",IF(G46=0,"להמשיך לאסוף נתונים",IF(J46&lt;='הגדרות ורווח'!$B$26,"מצוין: להגדיל תקציב ב-20%",IF(J46&lt;='הגדרות ורווח'!$B$25,"מרוויח: להחזיק, להחליף מודעות חלשות","מפסיד: לעצור ולשנות")))))))</f>
        <v/>
      </c>
    </row>
    <row r="47">
      <c r="A47" s="17" t="n"/>
      <c r="B47" s="5" t="n"/>
      <c r="C47" s="5" t="n"/>
      <c r="D47" s="5" t="n"/>
      <c r="E47" s="5" t="n"/>
      <c r="F47" s="5" t="n"/>
      <c r="G47" s="5" t="n"/>
      <c r="H47" s="5" t="n"/>
      <c r="I47" s="18">
        <f>IF(D47&gt;0,E47/D47,"")</f>
        <v/>
      </c>
      <c r="J47" s="10">
        <f>IF(G47&gt;0,C47/G47,"")</f>
        <v/>
      </c>
      <c r="K47" s="19">
        <f>IF(C47&gt;0,H47/C47,"")</f>
        <v/>
      </c>
      <c r="L47" s="14">
        <f>IF(C47="","",G47*'הגדרות ורווח'!$B$24-C47)</f>
        <v/>
      </c>
      <c r="M47" s="2">
        <f>IF(C47="","",IF(AND(G47=0,F47=0,C47&gt;=80),"לכבות את המודעה (80 ₪ בלי הוספה לסל)",IF(AND(D47&gt;1000,I47&lt;0.007),"ההוק לא עובד: קריאייטיב חדש",IF(AND(F47&gt;=3,G47=0),"יש הוספות לסל ואין רכישות: לבדוק תשלום וסליקה",IF(G47=0,"להמשיך לאסוף נתונים",IF(J47&lt;='הגדרות ורווח'!$B$26,"מצוין: להגדיל תקציב ב-20%",IF(J47&lt;='הגדרות ורווח'!$B$25,"מרוויח: להחזיק, להחליף מודעות חלשות","מפסיד: לעצור ולשנות")))))))</f>
        <v/>
      </c>
    </row>
    <row r="48">
      <c r="A48" s="17" t="n"/>
      <c r="B48" s="5" t="n"/>
      <c r="C48" s="5" t="n"/>
      <c r="D48" s="5" t="n"/>
      <c r="E48" s="5" t="n"/>
      <c r="F48" s="5" t="n"/>
      <c r="G48" s="5" t="n"/>
      <c r="H48" s="5" t="n"/>
      <c r="I48" s="18">
        <f>IF(D48&gt;0,E48/D48,"")</f>
        <v/>
      </c>
      <c r="J48" s="10">
        <f>IF(G48&gt;0,C48/G48,"")</f>
        <v/>
      </c>
      <c r="K48" s="19">
        <f>IF(C48&gt;0,H48/C48,"")</f>
        <v/>
      </c>
      <c r="L48" s="14">
        <f>IF(C48="","",G48*'הגדרות ורווח'!$B$24-C48)</f>
        <v/>
      </c>
      <c r="M48" s="2">
        <f>IF(C48="","",IF(AND(G48=0,F48=0,C48&gt;=80),"לכבות את המודעה (80 ₪ בלי הוספה לסל)",IF(AND(D48&gt;1000,I48&lt;0.007),"ההוק לא עובד: קריאייטיב חדש",IF(AND(F48&gt;=3,G48=0),"יש הוספות לסל ואין רכישות: לבדוק תשלום וסליקה",IF(G48=0,"להמשיך לאסוף נתונים",IF(J48&lt;='הגדרות ורווח'!$B$26,"מצוין: להגדיל תקציב ב-20%",IF(J48&lt;='הגדרות ורווח'!$B$25,"מרוויח: להחזיק, להחליף מודעות חלשות","מפסיד: לעצור ולשנות")))))))</f>
        <v/>
      </c>
    </row>
    <row r="49">
      <c r="A49" s="17" t="n"/>
      <c r="B49" s="5" t="n"/>
      <c r="C49" s="5" t="n"/>
      <c r="D49" s="5" t="n"/>
      <c r="E49" s="5" t="n"/>
      <c r="F49" s="5" t="n"/>
      <c r="G49" s="5" t="n"/>
      <c r="H49" s="5" t="n"/>
      <c r="I49" s="18">
        <f>IF(D49&gt;0,E49/D49,"")</f>
        <v/>
      </c>
      <c r="J49" s="10">
        <f>IF(G49&gt;0,C49/G49,"")</f>
        <v/>
      </c>
      <c r="K49" s="19">
        <f>IF(C49&gt;0,H49/C49,"")</f>
        <v/>
      </c>
      <c r="L49" s="14">
        <f>IF(C49="","",G49*'הגדרות ורווח'!$B$24-C49)</f>
        <v/>
      </c>
      <c r="M49" s="2">
        <f>IF(C49="","",IF(AND(G49=0,F49=0,C49&gt;=80),"לכבות את המודעה (80 ₪ בלי הוספה לסל)",IF(AND(D49&gt;1000,I49&lt;0.007),"ההוק לא עובד: קריאייטיב חדש",IF(AND(F49&gt;=3,G49=0),"יש הוספות לסל ואין רכישות: לבדוק תשלום וסליקה",IF(G49=0,"להמשיך לאסוף נתונים",IF(J49&lt;='הגדרות ורווח'!$B$26,"מצוין: להגדיל תקציב ב-20%",IF(J49&lt;='הגדרות ורווח'!$B$25,"מרוויח: להחזיק, להחליף מודעות חלשות","מפסיד: לעצור ולשנות")))))))</f>
        <v/>
      </c>
    </row>
    <row r="50">
      <c r="A50" s="17" t="n"/>
      <c r="B50" s="5" t="n"/>
      <c r="C50" s="5" t="n"/>
      <c r="D50" s="5" t="n"/>
      <c r="E50" s="5" t="n"/>
      <c r="F50" s="5" t="n"/>
      <c r="G50" s="5" t="n"/>
      <c r="H50" s="5" t="n"/>
      <c r="I50" s="18">
        <f>IF(D50&gt;0,E50/D50,"")</f>
        <v/>
      </c>
      <c r="J50" s="10">
        <f>IF(G50&gt;0,C50/G50,"")</f>
        <v/>
      </c>
      <c r="K50" s="19">
        <f>IF(C50&gt;0,H50/C50,"")</f>
        <v/>
      </c>
      <c r="L50" s="14">
        <f>IF(C50="","",G50*'הגדרות ורווח'!$B$24-C50)</f>
        <v/>
      </c>
      <c r="M50" s="2">
        <f>IF(C50="","",IF(AND(G50=0,F50=0,C50&gt;=80),"לכבות את המודעה (80 ₪ בלי הוספה לסל)",IF(AND(D50&gt;1000,I50&lt;0.007),"ההוק לא עובד: קריאייטיב חדש",IF(AND(F50&gt;=3,G50=0),"יש הוספות לסל ואין רכישות: לבדוק תשלום וסליקה",IF(G50=0,"להמשיך לאסוף נתונים",IF(J50&lt;='הגדרות ורווח'!$B$26,"מצוין: להגדיל תקציב ב-20%",IF(J50&lt;='הגדרות ורווח'!$B$25,"מרוויח: להחזיק, להחליף מודעות חלשות","מפסיד: לעצור ולשנות")))))))</f>
        <v/>
      </c>
    </row>
    <row r="51">
      <c r="A51" s="17" t="n"/>
      <c r="B51" s="5" t="n"/>
      <c r="C51" s="5" t="n"/>
      <c r="D51" s="5" t="n"/>
      <c r="E51" s="5" t="n"/>
      <c r="F51" s="5" t="n"/>
      <c r="G51" s="5" t="n"/>
      <c r="H51" s="5" t="n"/>
      <c r="I51" s="18">
        <f>IF(D51&gt;0,E51/D51,"")</f>
        <v/>
      </c>
      <c r="J51" s="10">
        <f>IF(G51&gt;0,C51/G51,"")</f>
        <v/>
      </c>
      <c r="K51" s="19">
        <f>IF(C51&gt;0,H51/C51,"")</f>
        <v/>
      </c>
      <c r="L51" s="14">
        <f>IF(C51="","",G51*'הגדרות ורווח'!$B$24-C51)</f>
        <v/>
      </c>
      <c r="M51" s="2">
        <f>IF(C51="","",IF(AND(G51=0,F51=0,C51&gt;=80),"לכבות את המודעה (80 ₪ בלי הוספה לסל)",IF(AND(D51&gt;1000,I51&lt;0.007),"ההוק לא עובד: קריאייטיב חדש",IF(AND(F51&gt;=3,G51=0),"יש הוספות לסל ואין רכישות: לבדוק תשלום וסליקה",IF(G51=0,"להמשיך לאסוף נתונים",IF(J51&lt;='הגדרות ורווח'!$B$26,"מצוין: להגדיל תקציב ב-20%",IF(J51&lt;='הגדרות ורווח'!$B$25,"מרוויח: להחזיק, להחליף מודעות חלשות","מפסיד: לעצור ולשנות")))))))</f>
        <v/>
      </c>
    </row>
    <row r="52">
      <c r="A52" s="17" t="n"/>
      <c r="B52" s="5" t="n"/>
      <c r="C52" s="5" t="n"/>
      <c r="D52" s="5" t="n"/>
      <c r="E52" s="5" t="n"/>
      <c r="F52" s="5" t="n"/>
      <c r="G52" s="5" t="n"/>
      <c r="H52" s="5" t="n"/>
      <c r="I52" s="18">
        <f>IF(D52&gt;0,E52/D52,"")</f>
        <v/>
      </c>
      <c r="J52" s="10">
        <f>IF(G52&gt;0,C52/G52,"")</f>
        <v/>
      </c>
      <c r="K52" s="19">
        <f>IF(C52&gt;0,H52/C52,"")</f>
        <v/>
      </c>
      <c r="L52" s="14">
        <f>IF(C52="","",G52*'הגדרות ורווח'!$B$24-C52)</f>
        <v/>
      </c>
      <c r="M52" s="2">
        <f>IF(C52="","",IF(AND(G52=0,F52=0,C52&gt;=80),"לכבות את המודעה (80 ₪ בלי הוספה לסל)",IF(AND(D52&gt;1000,I52&lt;0.007),"ההוק לא עובד: קריאייטיב חדש",IF(AND(F52&gt;=3,G52=0),"יש הוספות לסל ואין רכישות: לבדוק תשלום וסליקה",IF(G52=0,"להמשיך לאסוף נתונים",IF(J52&lt;='הגדרות ורווח'!$B$26,"מצוין: להגדיל תקציב ב-20%",IF(J52&lt;='הגדרות ורווח'!$B$25,"מרוויח: להחזיק, להחליף מודעות חלשות","מפסיד: לעצור ולשנות")))))))</f>
        <v/>
      </c>
    </row>
    <row r="53">
      <c r="A53" s="17" t="n"/>
      <c r="B53" s="5" t="n"/>
      <c r="C53" s="5" t="n"/>
      <c r="D53" s="5" t="n"/>
      <c r="E53" s="5" t="n"/>
      <c r="F53" s="5" t="n"/>
      <c r="G53" s="5" t="n"/>
      <c r="H53" s="5" t="n"/>
      <c r="I53" s="18">
        <f>IF(D53&gt;0,E53/D53,"")</f>
        <v/>
      </c>
      <c r="J53" s="10">
        <f>IF(G53&gt;0,C53/G53,"")</f>
        <v/>
      </c>
      <c r="K53" s="19">
        <f>IF(C53&gt;0,H53/C53,"")</f>
        <v/>
      </c>
      <c r="L53" s="14">
        <f>IF(C53="","",G53*'הגדרות ורווח'!$B$24-C53)</f>
        <v/>
      </c>
      <c r="M53" s="2">
        <f>IF(C53="","",IF(AND(G53=0,F53=0,C53&gt;=80),"לכבות את המודעה (80 ₪ בלי הוספה לסל)",IF(AND(D53&gt;1000,I53&lt;0.007),"ההוק לא עובד: קריאייטיב חדש",IF(AND(F53&gt;=3,G53=0),"יש הוספות לסל ואין רכישות: לבדוק תשלום וסליקה",IF(G53=0,"להמשיך לאסוף נתונים",IF(J53&lt;='הגדרות ורווח'!$B$26,"מצוין: להגדיל תקציב ב-20%",IF(J53&lt;='הגדרות ורווח'!$B$25,"מרוויח: להחזיק, להחליף מודעות חלשות","מפסיד: לעצור ולשנות")))))))</f>
        <v/>
      </c>
    </row>
    <row r="54">
      <c r="A54" s="17" t="n"/>
      <c r="B54" s="5" t="n"/>
      <c r="C54" s="5" t="n"/>
      <c r="D54" s="5" t="n"/>
      <c r="E54" s="5" t="n"/>
      <c r="F54" s="5" t="n"/>
      <c r="G54" s="5" t="n"/>
      <c r="H54" s="5" t="n"/>
      <c r="I54" s="18">
        <f>IF(D54&gt;0,E54/D54,"")</f>
        <v/>
      </c>
      <c r="J54" s="10">
        <f>IF(G54&gt;0,C54/G54,"")</f>
        <v/>
      </c>
      <c r="K54" s="19">
        <f>IF(C54&gt;0,H54/C54,"")</f>
        <v/>
      </c>
      <c r="L54" s="14">
        <f>IF(C54="","",G54*'הגדרות ורווח'!$B$24-C54)</f>
        <v/>
      </c>
      <c r="M54" s="2">
        <f>IF(C54="","",IF(AND(G54=0,F54=0,C54&gt;=80),"לכבות את המודעה (80 ₪ בלי הוספה לסל)",IF(AND(D54&gt;1000,I54&lt;0.007),"ההוק לא עובד: קריאייטיב חדש",IF(AND(F54&gt;=3,G54=0),"יש הוספות לסל ואין רכישות: לבדוק תשלום וסליקה",IF(G54=0,"להמשיך לאסוף נתונים",IF(J54&lt;='הגדרות ורווח'!$B$26,"מצוין: להגדיל תקציב ב-20%",IF(J54&lt;='הגדרות ורווח'!$B$25,"מרוויח: להחזיק, להחליף מודעות חלשות","מפסיד: לעצור ולשנות")))))))</f>
        <v/>
      </c>
    </row>
    <row r="55">
      <c r="A55" s="17" t="n"/>
      <c r="B55" s="5" t="n"/>
      <c r="C55" s="5" t="n"/>
      <c r="D55" s="5" t="n"/>
      <c r="E55" s="5" t="n"/>
      <c r="F55" s="5" t="n"/>
      <c r="G55" s="5" t="n"/>
      <c r="H55" s="5" t="n"/>
      <c r="I55" s="18">
        <f>IF(D55&gt;0,E55/D55,"")</f>
        <v/>
      </c>
      <c r="J55" s="10">
        <f>IF(G55&gt;0,C55/G55,"")</f>
        <v/>
      </c>
      <c r="K55" s="19">
        <f>IF(C55&gt;0,H55/C55,"")</f>
        <v/>
      </c>
      <c r="L55" s="14">
        <f>IF(C55="","",G55*'הגדרות ורווח'!$B$24-C55)</f>
        <v/>
      </c>
      <c r="M55" s="2">
        <f>IF(C55="","",IF(AND(G55=0,F55=0,C55&gt;=80),"לכבות את המודעה (80 ₪ בלי הוספה לסל)",IF(AND(D55&gt;1000,I55&lt;0.007),"ההוק לא עובד: קריאייטיב חדש",IF(AND(F55&gt;=3,G55=0),"יש הוספות לסל ואין רכישות: לבדוק תשלום וסליקה",IF(G55=0,"להמשיך לאסוף נתונים",IF(J55&lt;='הגדרות ורווח'!$B$26,"מצוין: להגדיל תקציב ב-20%",IF(J55&lt;='הגדרות ורווח'!$B$25,"מרוויח: להחזיק, להחליף מודעות חלשות","מפסיד: לעצור ולשנות")))))))</f>
        <v/>
      </c>
    </row>
    <row r="56">
      <c r="A56" s="17" t="n"/>
      <c r="B56" s="5" t="n"/>
      <c r="C56" s="5" t="n"/>
      <c r="D56" s="5" t="n"/>
      <c r="E56" s="5" t="n"/>
      <c r="F56" s="5" t="n"/>
      <c r="G56" s="5" t="n"/>
      <c r="H56" s="5" t="n"/>
      <c r="I56" s="18">
        <f>IF(D56&gt;0,E56/D56,"")</f>
        <v/>
      </c>
      <c r="J56" s="10">
        <f>IF(G56&gt;0,C56/G56,"")</f>
        <v/>
      </c>
      <c r="K56" s="19">
        <f>IF(C56&gt;0,H56/C56,"")</f>
        <v/>
      </c>
      <c r="L56" s="14">
        <f>IF(C56="","",G56*'הגדרות ורווח'!$B$24-C56)</f>
        <v/>
      </c>
      <c r="M56" s="2">
        <f>IF(C56="","",IF(AND(G56=0,F56=0,C56&gt;=80),"לכבות את המודעה (80 ₪ בלי הוספה לסל)",IF(AND(D56&gt;1000,I56&lt;0.007),"ההוק לא עובד: קריאייטיב חדש",IF(AND(F56&gt;=3,G56=0),"יש הוספות לסל ואין רכישות: לבדוק תשלום וסליקה",IF(G56=0,"להמשיך לאסוף נתונים",IF(J56&lt;='הגדרות ורווח'!$B$26,"מצוין: להגדיל תקציב ב-20%",IF(J56&lt;='הגדרות ורווח'!$B$25,"מרוויח: להחזיק, להחליף מודעות חלשות","מפסיד: לעצור ולשנות")))))))</f>
        <v/>
      </c>
    </row>
    <row r="57">
      <c r="A57" s="17" t="n"/>
      <c r="B57" s="5" t="n"/>
      <c r="C57" s="5" t="n"/>
      <c r="D57" s="5" t="n"/>
      <c r="E57" s="5" t="n"/>
      <c r="F57" s="5" t="n"/>
      <c r="G57" s="5" t="n"/>
      <c r="H57" s="5" t="n"/>
      <c r="I57" s="18">
        <f>IF(D57&gt;0,E57/D57,"")</f>
        <v/>
      </c>
      <c r="J57" s="10">
        <f>IF(G57&gt;0,C57/G57,"")</f>
        <v/>
      </c>
      <c r="K57" s="19">
        <f>IF(C57&gt;0,H57/C57,"")</f>
        <v/>
      </c>
      <c r="L57" s="14">
        <f>IF(C57="","",G57*'הגדרות ורווח'!$B$24-C57)</f>
        <v/>
      </c>
      <c r="M57" s="2">
        <f>IF(C57="","",IF(AND(G57=0,F57=0,C57&gt;=80),"לכבות את המודעה (80 ₪ בלי הוספה לסל)",IF(AND(D57&gt;1000,I57&lt;0.007),"ההוק לא עובד: קריאייטיב חדש",IF(AND(F57&gt;=3,G57=0),"יש הוספות לסל ואין רכישות: לבדוק תשלום וסליקה",IF(G57=0,"להמשיך לאסוף נתונים",IF(J57&lt;='הגדרות ורווח'!$B$26,"מצוין: להגדיל תקציב ב-20%",IF(J57&lt;='הגדרות ורווח'!$B$25,"מרוויח: להחזיק, להחליף מודעות חלשות","מפסיד: לעצור ולשנות")))))))</f>
        <v/>
      </c>
    </row>
    <row r="58">
      <c r="A58" s="17" t="n"/>
      <c r="B58" s="5" t="n"/>
      <c r="C58" s="5" t="n"/>
      <c r="D58" s="5" t="n"/>
      <c r="E58" s="5" t="n"/>
      <c r="F58" s="5" t="n"/>
      <c r="G58" s="5" t="n"/>
      <c r="H58" s="5" t="n"/>
      <c r="I58" s="18">
        <f>IF(D58&gt;0,E58/D58,"")</f>
        <v/>
      </c>
      <c r="J58" s="10">
        <f>IF(G58&gt;0,C58/G58,"")</f>
        <v/>
      </c>
      <c r="K58" s="19">
        <f>IF(C58&gt;0,H58/C58,"")</f>
        <v/>
      </c>
      <c r="L58" s="14">
        <f>IF(C58="","",G58*'הגדרות ורווח'!$B$24-C58)</f>
        <v/>
      </c>
      <c r="M58" s="2">
        <f>IF(C58="","",IF(AND(G58=0,F58=0,C58&gt;=80),"לכבות את המודעה (80 ₪ בלי הוספה לסל)",IF(AND(D58&gt;1000,I58&lt;0.007),"ההוק לא עובד: קריאייטיב חדש",IF(AND(F58&gt;=3,G58=0),"יש הוספות לסל ואין רכישות: לבדוק תשלום וסליקה",IF(G58=0,"להמשיך לאסוף נתונים",IF(J58&lt;='הגדרות ורווח'!$B$26,"מצוין: להגדיל תקציב ב-20%",IF(J58&lt;='הגדרות ורווח'!$B$25,"מרוויח: להחזיק, להחליף מודעות חלשות","מפסיד: לעצור ולשנות")))))))</f>
        <v/>
      </c>
    </row>
    <row r="59">
      <c r="A59" s="17" t="n"/>
      <c r="B59" s="5" t="n"/>
      <c r="C59" s="5" t="n"/>
      <c r="D59" s="5" t="n"/>
      <c r="E59" s="5" t="n"/>
      <c r="F59" s="5" t="n"/>
      <c r="G59" s="5" t="n"/>
      <c r="H59" s="5" t="n"/>
      <c r="I59" s="18">
        <f>IF(D59&gt;0,E59/D59,"")</f>
        <v/>
      </c>
      <c r="J59" s="10">
        <f>IF(G59&gt;0,C59/G59,"")</f>
        <v/>
      </c>
      <c r="K59" s="19">
        <f>IF(C59&gt;0,H59/C59,"")</f>
        <v/>
      </c>
      <c r="L59" s="14">
        <f>IF(C59="","",G59*'הגדרות ורווח'!$B$24-C59)</f>
        <v/>
      </c>
      <c r="M59" s="2">
        <f>IF(C59="","",IF(AND(G59=0,F59=0,C59&gt;=80),"לכבות את המודעה (80 ₪ בלי הוספה לסל)",IF(AND(D59&gt;1000,I59&lt;0.007),"ההוק לא עובד: קריאייטיב חדש",IF(AND(F59&gt;=3,G59=0),"יש הוספות לסל ואין רכישות: לבדוק תשלום וסליקה",IF(G59=0,"להמשיך לאסוף נתונים",IF(J59&lt;='הגדרות ורווח'!$B$26,"מצוין: להגדיל תקציב ב-20%",IF(J59&lt;='הגדרות ורווח'!$B$25,"מרוויח: להחזיק, להחליף מודעות חלשות","מפסיד: לעצור ולשנות")))))))</f>
        <v/>
      </c>
    </row>
    <row r="60">
      <c r="A60" s="17" t="n"/>
      <c r="B60" s="5" t="n"/>
      <c r="C60" s="5" t="n"/>
      <c r="D60" s="5" t="n"/>
      <c r="E60" s="5" t="n"/>
      <c r="F60" s="5" t="n"/>
      <c r="G60" s="5" t="n"/>
      <c r="H60" s="5" t="n"/>
      <c r="I60" s="18">
        <f>IF(D60&gt;0,E60/D60,"")</f>
        <v/>
      </c>
      <c r="J60" s="10">
        <f>IF(G60&gt;0,C60/G60,"")</f>
        <v/>
      </c>
      <c r="K60" s="19">
        <f>IF(C60&gt;0,H60/C60,"")</f>
        <v/>
      </c>
      <c r="L60" s="14">
        <f>IF(C60="","",G60*'הגדרות ורווח'!$B$24-C60)</f>
        <v/>
      </c>
      <c r="M60" s="2">
        <f>IF(C60="","",IF(AND(G60=0,F60=0,C60&gt;=80),"לכבות את המודעה (80 ₪ בלי הוספה לסל)",IF(AND(D60&gt;1000,I60&lt;0.007),"ההוק לא עובד: קריאייטיב חדש",IF(AND(F60&gt;=3,G60=0),"יש הוספות לסל ואין רכישות: לבדוק תשלום וסליקה",IF(G60=0,"להמשיך לאסוף נתונים",IF(J60&lt;='הגדרות ורווח'!$B$26,"מצוין: להגדיל תקציב ב-20%",IF(J60&lt;='הגדרות ורווח'!$B$25,"מרוויח: להחזיק, להחליף מודעות חלשות","מפסיד: לעצור ולשנות")))))))</f>
        <v/>
      </c>
    </row>
    <row r="61">
      <c r="A61" s="17" t="n"/>
      <c r="B61" s="5" t="n"/>
      <c r="C61" s="5" t="n"/>
      <c r="D61" s="5" t="n"/>
      <c r="E61" s="5" t="n"/>
      <c r="F61" s="5" t="n"/>
      <c r="G61" s="5" t="n"/>
      <c r="H61" s="5" t="n"/>
      <c r="I61" s="18">
        <f>IF(D61&gt;0,E61/D61,"")</f>
        <v/>
      </c>
      <c r="J61" s="10">
        <f>IF(G61&gt;0,C61/G61,"")</f>
        <v/>
      </c>
      <c r="K61" s="19">
        <f>IF(C61&gt;0,H61/C61,"")</f>
        <v/>
      </c>
      <c r="L61" s="14">
        <f>IF(C61="","",G61*'הגדרות ורווח'!$B$24-C61)</f>
        <v/>
      </c>
      <c r="M61" s="2">
        <f>IF(C61="","",IF(AND(G61=0,F61=0,C61&gt;=80),"לכבות את המודעה (80 ₪ בלי הוספה לסל)",IF(AND(D61&gt;1000,I61&lt;0.007),"ההוק לא עובד: קריאייטיב חדש",IF(AND(F61&gt;=3,G61=0),"יש הוספות לסל ואין רכישות: לבדוק תשלום וסליקה",IF(G61=0,"להמשיך לאסוף נתונים",IF(J61&lt;='הגדרות ורווח'!$B$26,"מצוין: להגדיל תקציב ב-20%",IF(J61&lt;='הגדרות ורווח'!$B$25,"מרוויח: להחזיק, להחליף מודעות חלשות","מפסיד: לעצור ולשנות")))))))</f>
        <v/>
      </c>
    </row>
    <row r="62">
      <c r="A62" s="17" t="n"/>
      <c r="B62" s="5" t="n"/>
      <c r="C62" s="5" t="n"/>
      <c r="D62" s="5" t="n"/>
      <c r="E62" s="5" t="n"/>
      <c r="F62" s="5" t="n"/>
      <c r="G62" s="5" t="n"/>
      <c r="H62" s="5" t="n"/>
      <c r="I62" s="18">
        <f>IF(D62&gt;0,E62/D62,"")</f>
        <v/>
      </c>
      <c r="J62" s="10">
        <f>IF(G62&gt;0,C62/G62,"")</f>
        <v/>
      </c>
      <c r="K62" s="19">
        <f>IF(C62&gt;0,H62/C62,"")</f>
        <v/>
      </c>
      <c r="L62" s="14">
        <f>IF(C62="","",G62*'הגדרות ורווח'!$B$24-C62)</f>
        <v/>
      </c>
      <c r="M62" s="2">
        <f>IF(C62="","",IF(AND(G62=0,F62=0,C62&gt;=80),"לכבות את המודעה (80 ₪ בלי הוספה לסל)",IF(AND(D62&gt;1000,I62&lt;0.007),"ההוק לא עובד: קריאייטיב חדש",IF(AND(F62&gt;=3,G62=0),"יש הוספות לסל ואין רכישות: לבדוק תשלום וסליקה",IF(G62=0,"להמשיך לאסוף נתונים",IF(J62&lt;='הגדרות ורווח'!$B$26,"מצוין: להגדיל תקציב ב-20%",IF(J62&lt;='הגדרות ורווח'!$B$25,"מרוויח: להחזיק, להחליף מודעות חלשות","מפסיד: לעצור ולשנות")))))))</f>
        <v/>
      </c>
    </row>
    <row r="63">
      <c r="A63" s="17" t="n"/>
      <c r="B63" s="5" t="n"/>
      <c r="C63" s="5" t="n"/>
      <c r="D63" s="5" t="n"/>
      <c r="E63" s="5" t="n"/>
      <c r="F63" s="5" t="n"/>
      <c r="G63" s="5" t="n"/>
      <c r="H63" s="5" t="n"/>
      <c r="I63" s="18">
        <f>IF(D63&gt;0,E63/D63,"")</f>
        <v/>
      </c>
      <c r="J63" s="10">
        <f>IF(G63&gt;0,C63/G63,"")</f>
        <v/>
      </c>
      <c r="K63" s="19">
        <f>IF(C63&gt;0,H63/C63,"")</f>
        <v/>
      </c>
      <c r="L63" s="14">
        <f>IF(C63="","",G63*'הגדרות ורווח'!$B$24-C63)</f>
        <v/>
      </c>
      <c r="M63" s="2">
        <f>IF(C63="","",IF(AND(G63=0,F63=0,C63&gt;=80),"לכבות את המודעה (80 ₪ בלי הוספה לסל)",IF(AND(D63&gt;1000,I63&lt;0.007),"ההוק לא עובד: קריאייטיב חדש",IF(AND(F63&gt;=3,G63=0),"יש הוספות לסל ואין רכישות: לבדוק תשלום וסליקה",IF(G63=0,"להמשיך לאסוף נתונים",IF(J63&lt;='הגדרות ורווח'!$B$26,"מצוין: להגדיל תקציב ב-20%",IF(J63&lt;='הגדרות ורווח'!$B$25,"מרוויח: להחזיק, להחליף מודעות חלשות","מפסיד: לעצור ולשנות")))))))</f>
        <v/>
      </c>
    </row>
    <row r="64">
      <c r="A64" s="17" t="n"/>
      <c r="B64" s="5" t="n"/>
      <c r="C64" s="5" t="n"/>
      <c r="D64" s="5" t="n"/>
      <c r="E64" s="5" t="n"/>
      <c r="F64" s="5" t="n"/>
      <c r="G64" s="5" t="n"/>
      <c r="H64" s="5" t="n"/>
      <c r="I64" s="18">
        <f>IF(D64&gt;0,E64/D64,"")</f>
        <v/>
      </c>
      <c r="J64" s="10">
        <f>IF(G64&gt;0,C64/G64,"")</f>
        <v/>
      </c>
      <c r="K64" s="19">
        <f>IF(C64&gt;0,H64/C64,"")</f>
        <v/>
      </c>
      <c r="L64" s="14">
        <f>IF(C64="","",G64*'הגדרות ורווח'!$B$24-C64)</f>
        <v/>
      </c>
      <c r="M64" s="2">
        <f>IF(C64="","",IF(AND(G64=0,F64=0,C64&gt;=80),"לכבות את המודעה (80 ₪ בלי הוספה לסל)",IF(AND(D64&gt;1000,I64&lt;0.007),"ההוק לא עובד: קריאייטיב חדש",IF(AND(F64&gt;=3,G64=0),"יש הוספות לסל ואין רכישות: לבדוק תשלום וסליקה",IF(G64=0,"להמשיך לאסוף נתונים",IF(J64&lt;='הגדרות ורווח'!$B$26,"מצוין: להגדיל תקציב ב-20%",IF(J64&lt;='הגדרות ורווח'!$B$25,"מרוויח: להחזיק, להחליף מודעות חלשות","מפסיד: לעצור ולשנות")))))))</f>
        <v/>
      </c>
    </row>
    <row r="65">
      <c r="A65" s="17" t="n"/>
      <c r="B65" s="5" t="n"/>
      <c r="C65" s="5" t="n"/>
      <c r="D65" s="5" t="n"/>
      <c r="E65" s="5" t="n"/>
      <c r="F65" s="5" t="n"/>
      <c r="G65" s="5" t="n"/>
      <c r="H65" s="5" t="n"/>
      <c r="I65" s="18">
        <f>IF(D65&gt;0,E65/D65,"")</f>
        <v/>
      </c>
      <c r="J65" s="10">
        <f>IF(G65&gt;0,C65/G65,"")</f>
        <v/>
      </c>
      <c r="K65" s="19">
        <f>IF(C65&gt;0,H65/C65,"")</f>
        <v/>
      </c>
      <c r="L65" s="14">
        <f>IF(C65="","",G65*'הגדרות ורווח'!$B$24-C65)</f>
        <v/>
      </c>
      <c r="M65" s="2">
        <f>IF(C65="","",IF(AND(G65=0,F65=0,C65&gt;=80),"לכבות את המודעה (80 ₪ בלי הוספה לסל)",IF(AND(D65&gt;1000,I65&lt;0.007),"ההוק לא עובד: קריאייטיב חדש",IF(AND(F65&gt;=3,G65=0),"יש הוספות לסל ואין רכישות: לבדוק תשלום וסליקה",IF(G65=0,"להמשיך לאסוף נתונים",IF(J65&lt;='הגדרות ורווח'!$B$26,"מצוין: להגדיל תקציב ב-20%",IF(J65&lt;='הגדרות ורווח'!$B$25,"מרוויח: להחזיק, להחליף מודעות חלשות","מפסיד: לעצור ולשנות")))))))</f>
        <v/>
      </c>
    </row>
    <row r="66">
      <c r="A66" s="17" t="n"/>
      <c r="B66" s="5" t="n"/>
      <c r="C66" s="5" t="n"/>
      <c r="D66" s="5" t="n"/>
      <c r="E66" s="5" t="n"/>
      <c r="F66" s="5" t="n"/>
      <c r="G66" s="5" t="n"/>
      <c r="H66" s="5" t="n"/>
      <c r="I66" s="18">
        <f>IF(D66&gt;0,E66/D66,"")</f>
        <v/>
      </c>
      <c r="J66" s="10">
        <f>IF(G66&gt;0,C66/G66,"")</f>
        <v/>
      </c>
      <c r="K66" s="19">
        <f>IF(C66&gt;0,H66/C66,"")</f>
        <v/>
      </c>
      <c r="L66" s="14">
        <f>IF(C66="","",G66*'הגדרות ורווח'!$B$24-C66)</f>
        <v/>
      </c>
      <c r="M66" s="2">
        <f>IF(C66="","",IF(AND(G66=0,F66=0,C66&gt;=80),"לכבות את המודעה (80 ₪ בלי הוספה לסל)",IF(AND(D66&gt;1000,I66&lt;0.007),"ההוק לא עובד: קריאייטיב חדש",IF(AND(F66&gt;=3,G66=0),"יש הוספות לסל ואין רכישות: לבדוק תשלום וסליקה",IF(G66=0,"להמשיך לאסוף נתונים",IF(J66&lt;='הגדרות ורווח'!$B$26,"מצוין: להגדיל תקציב ב-20%",IF(J66&lt;='הגדרות ורווח'!$B$25,"מרוויח: להחזיק, להחליף מודעות חלשות","מפסיד: לעצור ולשנות")))))))</f>
        <v/>
      </c>
    </row>
    <row r="67">
      <c r="A67" s="17" t="n"/>
      <c r="B67" s="5" t="n"/>
      <c r="C67" s="5" t="n"/>
      <c r="D67" s="5" t="n"/>
      <c r="E67" s="5" t="n"/>
      <c r="F67" s="5" t="n"/>
      <c r="G67" s="5" t="n"/>
      <c r="H67" s="5" t="n"/>
      <c r="I67" s="18">
        <f>IF(D67&gt;0,E67/D67,"")</f>
        <v/>
      </c>
      <c r="J67" s="10">
        <f>IF(G67&gt;0,C67/G67,"")</f>
        <v/>
      </c>
      <c r="K67" s="19">
        <f>IF(C67&gt;0,H67/C67,"")</f>
        <v/>
      </c>
      <c r="L67" s="14">
        <f>IF(C67="","",G67*'הגדרות ורווח'!$B$24-C67)</f>
        <v/>
      </c>
      <c r="M67" s="2">
        <f>IF(C67="","",IF(AND(G67=0,F67=0,C67&gt;=80),"לכבות את המודעה (80 ₪ בלי הוספה לסל)",IF(AND(D67&gt;1000,I67&lt;0.007),"ההוק לא עובד: קריאייטיב חדש",IF(AND(F67&gt;=3,G67=0),"יש הוספות לסל ואין רכישות: לבדוק תשלום וסליקה",IF(G67=0,"להמשיך לאסוף נתונים",IF(J67&lt;='הגדרות ורווח'!$B$26,"מצוין: להגדיל תקציב ב-20%",IF(J67&lt;='הגדרות ורווח'!$B$25,"מרוויח: להחזיק, להחליף מודעות חלשות","מפסיד: לעצור ולשנות")))))))</f>
        <v/>
      </c>
    </row>
    <row r="68">
      <c r="A68" s="17" t="n"/>
      <c r="B68" s="5" t="n"/>
      <c r="C68" s="5" t="n"/>
      <c r="D68" s="5" t="n"/>
      <c r="E68" s="5" t="n"/>
      <c r="F68" s="5" t="n"/>
      <c r="G68" s="5" t="n"/>
      <c r="H68" s="5" t="n"/>
      <c r="I68" s="18">
        <f>IF(D68&gt;0,E68/D68,"")</f>
        <v/>
      </c>
      <c r="J68" s="10">
        <f>IF(G68&gt;0,C68/G68,"")</f>
        <v/>
      </c>
      <c r="K68" s="19">
        <f>IF(C68&gt;0,H68/C68,"")</f>
        <v/>
      </c>
      <c r="L68" s="14">
        <f>IF(C68="","",G68*'הגדרות ורווח'!$B$24-C68)</f>
        <v/>
      </c>
      <c r="M68" s="2">
        <f>IF(C68="","",IF(AND(G68=0,F68=0,C68&gt;=80),"לכבות את המודעה (80 ₪ בלי הוספה לסל)",IF(AND(D68&gt;1000,I68&lt;0.007),"ההוק לא עובד: קריאייטיב חדש",IF(AND(F68&gt;=3,G68=0),"יש הוספות לסל ואין רכישות: לבדוק תשלום וסליקה",IF(G68=0,"להמשיך לאסוף נתונים",IF(J68&lt;='הגדרות ורווח'!$B$26,"מצוין: להגדיל תקציב ב-20%",IF(J68&lt;='הגדרות ורווח'!$B$25,"מרוויח: להחזיק, להחליף מודעות חלשות","מפסיד: לעצור ולשנות")))))))</f>
        <v/>
      </c>
    </row>
    <row r="69">
      <c r="A69" s="17" t="n"/>
      <c r="B69" s="5" t="n"/>
      <c r="C69" s="5" t="n"/>
      <c r="D69" s="5" t="n"/>
      <c r="E69" s="5" t="n"/>
      <c r="F69" s="5" t="n"/>
      <c r="G69" s="5" t="n"/>
      <c r="H69" s="5" t="n"/>
      <c r="I69" s="18">
        <f>IF(D69&gt;0,E69/D69,"")</f>
        <v/>
      </c>
      <c r="J69" s="10">
        <f>IF(G69&gt;0,C69/G69,"")</f>
        <v/>
      </c>
      <c r="K69" s="19">
        <f>IF(C69&gt;0,H69/C69,"")</f>
        <v/>
      </c>
      <c r="L69" s="14">
        <f>IF(C69="","",G69*'הגדרות ורווח'!$B$24-C69)</f>
        <v/>
      </c>
      <c r="M69" s="2">
        <f>IF(C69="","",IF(AND(G69=0,F69=0,C69&gt;=80),"לכבות את המודעה (80 ₪ בלי הוספה לסל)",IF(AND(D69&gt;1000,I69&lt;0.007),"ההוק לא עובד: קריאייטיב חדש",IF(AND(F69&gt;=3,G69=0),"יש הוספות לסל ואין רכישות: לבדוק תשלום וסליקה",IF(G69=0,"להמשיך לאסוף נתונים",IF(J69&lt;='הגדרות ורווח'!$B$26,"מצוין: להגדיל תקציב ב-20%",IF(J69&lt;='הגדרות ורווח'!$B$25,"מרוויח: להחזיק, להחליף מודעות חלשות","מפסיד: לעצור ולשנות")))))))</f>
        <v/>
      </c>
    </row>
    <row r="70">
      <c r="A70" s="17" t="n"/>
      <c r="B70" s="5" t="n"/>
      <c r="C70" s="5" t="n"/>
      <c r="D70" s="5" t="n"/>
      <c r="E70" s="5" t="n"/>
      <c r="F70" s="5" t="n"/>
      <c r="G70" s="5" t="n"/>
      <c r="H70" s="5" t="n"/>
      <c r="I70" s="18">
        <f>IF(D70&gt;0,E70/D70,"")</f>
        <v/>
      </c>
      <c r="J70" s="10">
        <f>IF(G70&gt;0,C70/G70,"")</f>
        <v/>
      </c>
      <c r="K70" s="19">
        <f>IF(C70&gt;0,H70/C70,"")</f>
        <v/>
      </c>
      <c r="L70" s="14">
        <f>IF(C70="","",G70*'הגדרות ורווח'!$B$24-C70)</f>
        <v/>
      </c>
      <c r="M70" s="2">
        <f>IF(C70="","",IF(AND(G70=0,F70=0,C70&gt;=80),"לכבות את המודעה (80 ₪ בלי הוספה לסל)",IF(AND(D70&gt;1000,I70&lt;0.007),"ההוק לא עובד: קריאייטיב חדש",IF(AND(F70&gt;=3,G70=0),"יש הוספות לסל ואין רכישות: לבדוק תשלום וסליקה",IF(G70=0,"להמשיך לאסוף נתונים",IF(J70&lt;='הגדרות ורווח'!$B$26,"מצוין: להגדיל תקציב ב-20%",IF(J70&lt;='הגדרות ורווח'!$B$25,"מרוויח: להחזיק, להחליף מודעות חלשות","מפסיד: לעצור ולשנות")))))))</f>
        <v/>
      </c>
    </row>
    <row r="71">
      <c r="A71" s="17" t="n"/>
      <c r="B71" s="5" t="n"/>
      <c r="C71" s="5" t="n"/>
      <c r="D71" s="5" t="n"/>
      <c r="E71" s="5" t="n"/>
      <c r="F71" s="5" t="n"/>
      <c r="G71" s="5" t="n"/>
      <c r="H71" s="5" t="n"/>
      <c r="I71" s="18">
        <f>IF(D71&gt;0,E71/D71,"")</f>
        <v/>
      </c>
      <c r="J71" s="10">
        <f>IF(G71&gt;0,C71/G71,"")</f>
        <v/>
      </c>
      <c r="K71" s="19">
        <f>IF(C71&gt;0,H71/C71,"")</f>
        <v/>
      </c>
      <c r="L71" s="14">
        <f>IF(C71="","",G71*'הגדרות ורווח'!$B$24-C71)</f>
        <v/>
      </c>
      <c r="M71" s="2">
        <f>IF(C71="","",IF(AND(G71=0,F71=0,C71&gt;=80),"לכבות את המודעה (80 ₪ בלי הוספה לסל)",IF(AND(D71&gt;1000,I71&lt;0.007),"ההוק לא עובד: קריאייטיב חדש",IF(AND(F71&gt;=3,G71=0),"יש הוספות לסל ואין רכישות: לבדוק תשלום וסליקה",IF(G71=0,"להמשיך לאסוף נתונים",IF(J71&lt;='הגדרות ורווח'!$B$26,"מצוין: להגדיל תקציב ב-20%",IF(J71&lt;='הגדרות ורווח'!$B$25,"מרוויח: להחזיק, להחליף מודעות חלשות","מפסיד: לעצור ולשנות")))))))</f>
        <v/>
      </c>
    </row>
    <row r="72">
      <c r="A72" s="17" t="n"/>
      <c r="B72" s="5" t="n"/>
      <c r="C72" s="5" t="n"/>
      <c r="D72" s="5" t="n"/>
      <c r="E72" s="5" t="n"/>
      <c r="F72" s="5" t="n"/>
      <c r="G72" s="5" t="n"/>
      <c r="H72" s="5" t="n"/>
      <c r="I72" s="18">
        <f>IF(D72&gt;0,E72/D72,"")</f>
        <v/>
      </c>
      <c r="J72" s="10">
        <f>IF(G72&gt;0,C72/G72,"")</f>
        <v/>
      </c>
      <c r="K72" s="19">
        <f>IF(C72&gt;0,H72/C72,"")</f>
        <v/>
      </c>
      <c r="L72" s="14">
        <f>IF(C72="","",G72*'הגדרות ורווח'!$B$24-C72)</f>
        <v/>
      </c>
      <c r="M72" s="2">
        <f>IF(C72="","",IF(AND(G72=0,F72=0,C72&gt;=80),"לכבות את המודעה (80 ₪ בלי הוספה לסל)",IF(AND(D72&gt;1000,I72&lt;0.007),"ההוק לא עובד: קריאייטיב חדש",IF(AND(F72&gt;=3,G72=0),"יש הוספות לסל ואין רכישות: לבדוק תשלום וסליקה",IF(G72=0,"להמשיך לאסוף נתונים",IF(J72&lt;='הגדרות ורווח'!$B$26,"מצוין: להגדיל תקציב ב-20%",IF(J72&lt;='הגדרות ורווח'!$B$25,"מרוויח: להחזיק, להחליף מודעות חלשות","מפסיד: לעצור ולשנות")))))))</f>
        <v/>
      </c>
    </row>
    <row r="73">
      <c r="A73" s="17" t="n"/>
      <c r="B73" s="5" t="n"/>
      <c r="C73" s="5" t="n"/>
      <c r="D73" s="5" t="n"/>
      <c r="E73" s="5" t="n"/>
      <c r="F73" s="5" t="n"/>
      <c r="G73" s="5" t="n"/>
      <c r="H73" s="5" t="n"/>
      <c r="I73" s="18">
        <f>IF(D73&gt;0,E73/D73,"")</f>
        <v/>
      </c>
      <c r="J73" s="10">
        <f>IF(G73&gt;0,C73/G73,"")</f>
        <v/>
      </c>
      <c r="K73" s="19">
        <f>IF(C73&gt;0,H73/C73,"")</f>
        <v/>
      </c>
      <c r="L73" s="14">
        <f>IF(C73="","",G73*'הגדרות ורווח'!$B$24-C73)</f>
        <v/>
      </c>
      <c r="M73" s="2">
        <f>IF(C73="","",IF(AND(G73=0,F73=0,C73&gt;=80),"לכבות את המודעה (80 ₪ בלי הוספה לסל)",IF(AND(D73&gt;1000,I73&lt;0.007),"ההוק לא עובד: קריאייטיב חדש",IF(AND(F73&gt;=3,G73=0),"יש הוספות לסל ואין רכישות: לבדוק תשלום וסליקה",IF(G73=0,"להמשיך לאסוף נתונים",IF(J73&lt;='הגדרות ורווח'!$B$26,"מצוין: להגדיל תקציב ב-20%",IF(J73&lt;='הגדרות ורווח'!$B$25,"מרוויח: להחזיק, להחליף מודעות חלשות","מפסיד: לעצור ולשנות")))))))</f>
        <v/>
      </c>
    </row>
    <row r="74">
      <c r="A74" s="17" t="n"/>
      <c r="B74" s="5" t="n"/>
      <c r="C74" s="5" t="n"/>
      <c r="D74" s="5" t="n"/>
      <c r="E74" s="5" t="n"/>
      <c r="F74" s="5" t="n"/>
      <c r="G74" s="5" t="n"/>
      <c r="H74" s="5" t="n"/>
      <c r="I74" s="18">
        <f>IF(D74&gt;0,E74/D74,"")</f>
        <v/>
      </c>
      <c r="J74" s="10">
        <f>IF(G74&gt;0,C74/G74,"")</f>
        <v/>
      </c>
      <c r="K74" s="19">
        <f>IF(C74&gt;0,H74/C74,"")</f>
        <v/>
      </c>
      <c r="L74" s="14">
        <f>IF(C74="","",G74*'הגדרות ורווח'!$B$24-C74)</f>
        <v/>
      </c>
      <c r="M74" s="2">
        <f>IF(C74="","",IF(AND(G74=0,F74=0,C74&gt;=80),"לכבות את המודעה (80 ₪ בלי הוספה לסל)",IF(AND(D74&gt;1000,I74&lt;0.007),"ההוק לא עובד: קריאייטיב חדש",IF(AND(F74&gt;=3,G74=0),"יש הוספות לסל ואין רכישות: לבדוק תשלום וסליקה",IF(G74=0,"להמשיך לאסוף נתונים",IF(J74&lt;='הגדרות ורווח'!$B$26,"מצוין: להגדיל תקציב ב-20%",IF(J74&lt;='הגדרות ורווח'!$B$25,"מרוויח: להחזיק, להחליף מודעות חלשות","מפסיד: לעצור ולשנות")))))))</f>
        <v/>
      </c>
    </row>
    <row r="75">
      <c r="A75" s="17" t="n"/>
      <c r="B75" s="5" t="n"/>
      <c r="C75" s="5" t="n"/>
      <c r="D75" s="5" t="n"/>
      <c r="E75" s="5" t="n"/>
      <c r="F75" s="5" t="n"/>
      <c r="G75" s="5" t="n"/>
      <c r="H75" s="5" t="n"/>
      <c r="I75" s="18">
        <f>IF(D75&gt;0,E75/D75,"")</f>
        <v/>
      </c>
      <c r="J75" s="10">
        <f>IF(G75&gt;0,C75/G75,"")</f>
        <v/>
      </c>
      <c r="K75" s="19">
        <f>IF(C75&gt;0,H75/C75,"")</f>
        <v/>
      </c>
      <c r="L75" s="14">
        <f>IF(C75="","",G75*'הגדרות ורווח'!$B$24-C75)</f>
        <v/>
      </c>
      <c r="M75" s="2">
        <f>IF(C75="","",IF(AND(G75=0,F75=0,C75&gt;=80),"לכבות את המודעה (80 ₪ בלי הוספה לסל)",IF(AND(D75&gt;1000,I75&lt;0.007),"ההוק לא עובד: קריאייטיב חדש",IF(AND(F75&gt;=3,G75=0),"יש הוספות לסל ואין רכישות: לבדוק תשלום וסליקה",IF(G75=0,"להמשיך לאסוף נתונים",IF(J75&lt;='הגדרות ורווח'!$B$26,"מצוין: להגדיל תקציב ב-20%",IF(J75&lt;='הגדרות ורווח'!$B$25,"מרוויח: להחזיק, להחליף מודעות חלשות","מפסיד: לעצור ולשנות")))))))</f>
        <v/>
      </c>
    </row>
    <row r="76">
      <c r="A76" s="17" t="n"/>
      <c r="B76" s="5" t="n"/>
      <c r="C76" s="5" t="n"/>
      <c r="D76" s="5" t="n"/>
      <c r="E76" s="5" t="n"/>
      <c r="F76" s="5" t="n"/>
      <c r="G76" s="5" t="n"/>
      <c r="H76" s="5" t="n"/>
      <c r="I76" s="18">
        <f>IF(D76&gt;0,E76/D76,"")</f>
        <v/>
      </c>
      <c r="J76" s="10">
        <f>IF(G76&gt;0,C76/G76,"")</f>
        <v/>
      </c>
      <c r="K76" s="19">
        <f>IF(C76&gt;0,H76/C76,"")</f>
        <v/>
      </c>
      <c r="L76" s="14">
        <f>IF(C76="","",G76*'הגדרות ורווח'!$B$24-C76)</f>
        <v/>
      </c>
      <c r="M76" s="2">
        <f>IF(C76="","",IF(AND(G76=0,F76=0,C76&gt;=80),"לכבות את המודעה (80 ₪ בלי הוספה לסל)",IF(AND(D76&gt;1000,I76&lt;0.007),"ההוק לא עובד: קריאייטיב חדש",IF(AND(F76&gt;=3,G76=0),"יש הוספות לסל ואין רכישות: לבדוק תשלום וסליקה",IF(G76=0,"להמשיך לאסוף נתונים",IF(J76&lt;='הגדרות ורווח'!$B$26,"מצוין: להגדיל תקציב ב-20%",IF(J76&lt;='הגדרות ורווח'!$B$25,"מרוויח: להחזיק, להחליף מודעות חלשות","מפסיד: לעצור ולשנות")))))))</f>
        <v/>
      </c>
    </row>
    <row r="77">
      <c r="A77" s="17" t="n"/>
      <c r="B77" s="5" t="n"/>
      <c r="C77" s="5" t="n"/>
      <c r="D77" s="5" t="n"/>
      <c r="E77" s="5" t="n"/>
      <c r="F77" s="5" t="n"/>
      <c r="G77" s="5" t="n"/>
      <c r="H77" s="5" t="n"/>
      <c r="I77" s="18">
        <f>IF(D77&gt;0,E77/D77,"")</f>
        <v/>
      </c>
      <c r="J77" s="10">
        <f>IF(G77&gt;0,C77/G77,"")</f>
        <v/>
      </c>
      <c r="K77" s="19">
        <f>IF(C77&gt;0,H77/C77,"")</f>
        <v/>
      </c>
      <c r="L77" s="14">
        <f>IF(C77="","",G77*'הגדרות ורווח'!$B$24-C77)</f>
        <v/>
      </c>
      <c r="M77" s="2">
        <f>IF(C77="","",IF(AND(G77=0,F77=0,C77&gt;=80),"לכבות את המודעה (80 ₪ בלי הוספה לסל)",IF(AND(D77&gt;1000,I77&lt;0.007),"ההוק לא עובד: קריאייטיב חדש",IF(AND(F77&gt;=3,G77=0),"יש הוספות לסל ואין רכישות: לבדוק תשלום וסליקה",IF(G77=0,"להמשיך לאסוף נתונים",IF(J77&lt;='הגדרות ורווח'!$B$26,"מצוין: להגדיל תקציב ב-20%",IF(J77&lt;='הגדרות ורווח'!$B$25,"מרוויח: להחזיק, להחליף מודעות חלשות","מפסיד: לעצור ולשנות")))))))</f>
        <v/>
      </c>
    </row>
    <row r="78">
      <c r="A78" s="17" t="n"/>
      <c r="B78" s="5" t="n"/>
      <c r="C78" s="5" t="n"/>
      <c r="D78" s="5" t="n"/>
      <c r="E78" s="5" t="n"/>
      <c r="F78" s="5" t="n"/>
      <c r="G78" s="5" t="n"/>
      <c r="H78" s="5" t="n"/>
      <c r="I78" s="18">
        <f>IF(D78&gt;0,E78/D78,"")</f>
        <v/>
      </c>
      <c r="J78" s="10">
        <f>IF(G78&gt;0,C78/G78,"")</f>
        <v/>
      </c>
      <c r="K78" s="19">
        <f>IF(C78&gt;0,H78/C78,"")</f>
        <v/>
      </c>
      <c r="L78" s="14">
        <f>IF(C78="","",G78*'הגדרות ורווח'!$B$24-C78)</f>
        <v/>
      </c>
      <c r="M78" s="2">
        <f>IF(C78="","",IF(AND(G78=0,F78=0,C78&gt;=80),"לכבות את המודעה (80 ₪ בלי הוספה לסל)",IF(AND(D78&gt;1000,I78&lt;0.007),"ההוק לא עובד: קריאייטיב חדש",IF(AND(F78&gt;=3,G78=0),"יש הוספות לסל ואין רכישות: לבדוק תשלום וסליקה",IF(G78=0,"להמשיך לאסוף נתונים",IF(J78&lt;='הגדרות ורווח'!$B$26,"מצוין: להגדיל תקציב ב-20%",IF(J78&lt;='הגדרות ורווח'!$B$25,"מרוויח: להחזיק, להחליף מודעות חלשות","מפסיד: לעצור ולשנות")))))))</f>
        <v/>
      </c>
    </row>
    <row r="79">
      <c r="A79" s="17" t="n"/>
      <c r="B79" s="5" t="n"/>
      <c r="C79" s="5" t="n"/>
      <c r="D79" s="5" t="n"/>
      <c r="E79" s="5" t="n"/>
      <c r="F79" s="5" t="n"/>
      <c r="G79" s="5" t="n"/>
      <c r="H79" s="5" t="n"/>
      <c r="I79" s="18">
        <f>IF(D79&gt;0,E79/D79,"")</f>
        <v/>
      </c>
      <c r="J79" s="10">
        <f>IF(G79&gt;0,C79/G79,"")</f>
        <v/>
      </c>
      <c r="K79" s="19">
        <f>IF(C79&gt;0,H79/C79,"")</f>
        <v/>
      </c>
      <c r="L79" s="14">
        <f>IF(C79="","",G79*'הגדרות ורווח'!$B$24-C79)</f>
        <v/>
      </c>
      <c r="M79" s="2">
        <f>IF(C79="","",IF(AND(G79=0,F79=0,C79&gt;=80),"לכבות את המודעה (80 ₪ בלי הוספה לסל)",IF(AND(D79&gt;1000,I79&lt;0.007),"ההוק לא עובד: קריאייטיב חדש",IF(AND(F79&gt;=3,G79=0),"יש הוספות לסל ואין רכישות: לבדוק תשלום וסליקה",IF(G79=0,"להמשיך לאסוף נתונים",IF(J79&lt;='הגדרות ורווח'!$B$26,"מצוין: להגדיל תקציב ב-20%",IF(J79&lt;='הגדרות ורווח'!$B$25,"מרוויח: להחזיק, להחליף מודעות חלשות","מפסיד: לעצור ולשנות")))))))</f>
        <v/>
      </c>
    </row>
    <row r="80">
      <c r="A80" s="17" t="n"/>
      <c r="B80" s="5" t="n"/>
      <c r="C80" s="5" t="n"/>
      <c r="D80" s="5" t="n"/>
      <c r="E80" s="5" t="n"/>
      <c r="F80" s="5" t="n"/>
      <c r="G80" s="5" t="n"/>
      <c r="H80" s="5" t="n"/>
      <c r="I80" s="18">
        <f>IF(D80&gt;0,E80/D80,"")</f>
        <v/>
      </c>
      <c r="J80" s="10">
        <f>IF(G80&gt;0,C80/G80,"")</f>
        <v/>
      </c>
      <c r="K80" s="19">
        <f>IF(C80&gt;0,H80/C80,"")</f>
        <v/>
      </c>
      <c r="L80" s="14">
        <f>IF(C80="","",G80*'הגדרות ורווח'!$B$24-C80)</f>
        <v/>
      </c>
      <c r="M80" s="2">
        <f>IF(C80="","",IF(AND(G80=0,F80=0,C80&gt;=80),"לכבות את המודעה (80 ₪ בלי הוספה לסל)",IF(AND(D80&gt;1000,I80&lt;0.007),"ההוק לא עובד: קריאייטיב חדש",IF(AND(F80&gt;=3,G80=0),"יש הוספות לסל ואין רכישות: לבדוק תשלום וסליקה",IF(G80=0,"להמשיך לאסוף נתונים",IF(J80&lt;='הגדרות ורווח'!$B$26,"מצוין: להגדיל תקציב ב-20%",IF(J80&lt;='הגדרות ורווח'!$B$25,"מרוויח: להחזיק, להחליף מודעות חלשות","מפסיד: לעצור ולשנות")))))))</f>
        <v/>
      </c>
    </row>
    <row r="81">
      <c r="A81" s="17" t="n"/>
      <c r="B81" s="5" t="n"/>
      <c r="C81" s="5" t="n"/>
      <c r="D81" s="5" t="n"/>
      <c r="E81" s="5" t="n"/>
      <c r="F81" s="5" t="n"/>
      <c r="G81" s="5" t="n"/>
      <c r="H81" s="5" t="n"/>
      <c r="I81" s="18">
        <f>IF(D81&gt;0,E81/D81,"")</f>
        <v/>
      </c>
      <c r="J81" s="10">
        <f>IF(G81&gt;0,C81/G81,"")</f>
        <v/>
      </c>
      <c r="K81" s="19">
        <f>IF(C81&gt;0,H81/C81,"")</f>
        <v/>
      </c>
      <c r="L81" s="14">
        <f>IF(C81="","",G81*'הגדרות ורווח'!$B$24-C81)</f>
        <v/>
      </c>
      <c r="M81" s="2">
        <f>IF(C81="","",IF(AND(G81=0,F81=0,C81&gt;=80),"לכבות את המודעה (80 ₪ בלי הוספה לסל)",IF(AND(D81&gt;1000,I81&lt;0.007),"ההוק לא עובד: קריאייטיב חדש",IF(AND(F81&gt;=3,G81=0),"יש הוספות לסל ואין רכישות: לבדוק תשלום וסליקה",IF(G81=0,"להמשיך לאסוף נתונים",IF(J81&lt;='הגדרות ורווח'!$B$26,"מצוין: להגדיל תקציב ב-20%",IF(J81&lt;='הגדרות ורווח'!$B$25,"מרוויח: להחזיק, להחליף מודעות חלשות","מפסיד: לעצור ולשנות")))))))</f>
        <v/>
      </c>
    </row>
    <row r="82">
      <c r="A82" s="17" t="n"/>
      <c r="B82" s="5" t="n"/>
      <c r="C82" s="5" t="n"/>
      <c r="D82" s="5" t="n"/>
      <c r="E82" s="5" t="n"/>
      <c r="F82" s="5" t="n"/>
      <c r="G82" s="5" t="n"/>
      <c r="H82" s="5" t="n"/>
      <c r="I82" s="18">
        <f>IF(D82&gt;0,E82/D82,"")</f>
        <v/>
      </c>
      <c r="J82" s="10">
        <f>IF(G82&gt;0,C82/G82,"")</f>
        <v/>
      </c>
      <c r="K82" s="19">
        <f>IF(C82&gt;0,H82/C82,"")</f>
        <v/>
      </c>
      <c r="L82" s="14">
        <f>IF(C82="","",G82*'הגדרות ורווח'!$B$24-C82)</f>
        <v/>
      </c>
      <c r="M82" s="2">
        <f>IF(C82="","",IF(AND(G82=0,F82=0,C82&gt;=80),"לכבות את המודעה (80 ₪ בלי הוספה לסל)",IF(AND(D82&gt;1000,I82&lt;0.007),"ההוק לא עובד: קריאייטיב חדש",IF(AND(F82&gt;=3,G82=0),"יש הוספות לסל ואין רכישות: לבדוק תשלום וסליקה",IF(G82=0,"להמשיך לאסוף נתונים",IF(J82&lt;='הגדרות ורווח'!$B$26,"מצוין: להגדיל תקציב ב-20%",IF(J82&lt;='הגדרות ורווח'!$B$25,"מרוויח: להחזיק, להחליף מודעות חלשות","מפסיד: לעצור ולשנות")))))))</f>
        <v/>
      </c>
    </row>
    <row r="83">
      <c r="A83" s="17" t="n"/>
      <c r="B83" s="5" t="n"/>
      <c r="C83" s="5" t="n"/>
      <c r="D83" s="5" t="n"/>
      <c r="E83" s="5" t="n"/>
      <c r="F83" s="5" t="n"/>
      <c r="G83" s="5" t="n"/>
      <c r="H83" s="5" t="n"/>
      <c r="I83" s="18">
        <f>IF(D83&gt;0,E83/D83,"")</f>
        <v/>
      </c>
      <c r="J83" s="10">
        <f>IF(G83&gt;0,C83/G83,"")</f>
        <v/>
      </c>
      <c r="K83" s="19">
        <f>IF(C83&gt;0,H83/C83,"")</f>
        <v/>
      </c>
      <c r="L83" s="14">
        <f>IF(C83="","",G83*'הגדרות ורווח'!$B$24-C83)</f>
        <v/>
      </c>
      <c r="M83" s="2">
        <f>IF(C83="","",IF(AND(G83=0,F83=0,C83&gt;=80),"לכבות את המודעה (80 ₪ בלי הוספה לסל)",IF(AND(D83&gt;1000,I83&lt;0.007),"ההוק לא עובד: קריאייטיב חדש",IF(AND(F83&gt;=3,G83=0),"יש הוספות לסל ואין רכישות: לבדוק תשלום וסליקה",IF(G83=0,"להמשיך לאסוף נתונים",IF(J83&lt;='הגדרות ורווח'!$B$26,"מצוין: להגדיל תקציב ב-20%",IF(J83&lt;='הגדרות ורווח'!$B$25,"מרוויח: להחזיק, להחליף מודעות חלשות","מפסיד: לעצור ולשנות")))))))</f>
        <v/>
      </c>
    </row>
    <row r="84">
      <c r="A84" s="17" t="n"/>
      <c r="B84" s="5" t="n"/>
      <c r="C84" s="5" t="n"/>
      <c r="D84" s="5" t="n"/>
      <c r="E84" s="5" t="n"/>
      <c r="F84" s="5" t="n"/>
      <c r="G84" s="5" t="n"/>
      <c r="H84" s="5" t="n"/>
      <c r="I84" s="18">
        <f>IF(D84&gt;0,E84/D84,"")</f>
        <v/>
      </c>
      <c r="J84" s="10">
        <f>IF(G84&gt;0,C84/G84,"")</f>
        <v/>
      </c>
      <c r="K84" s="19">
        <f>IF(C84&gt;0,H84/C84,"")</f>
        <v/>
      </c>
      <c r="L84" s="14">
        <f>IF(C84="","",G84*'הגדרות ורווח'!$B$24-C84)</f>
        <v/>
      </c>
      <c r="M84" s="2">
        <f>IF(C84="","",IF(AND(G84=0,F84=0,C84&gt;=80),"לכבות את המודעה (80 ₪ בלי הוספה לסל)",IF(AND(D84&gt;1000,I84&lt;0.007),"ההוק לא עובד: קריאייטיב חדש",IF(AND(F84&gt;=3,G84=0),"יש הוספות לסל ואין רכישות: לבדוק תשלום וסליקה",IF(G84=0,"להמשיך לאסוף נתונים",IF(J84&lt;='הגדרות ורווח'!$B$26,"מצוין: להגדיל תקציב ב-20%",IF(J84&lt;='הגדרות ורווח'!$B$25,"מרוויח: להחזיק, להחליף מודעות חלשות","מפסיד: לעצור ולשנות")))))))</f>
        <v/>
      </c>
    </row>
    <row r="85">
      <c r="A85" s="17" t="n"/>
      <c r="B85" s="5" t="n"/>
      <c r="C85" s="5" t="n"/>
      <c r="D85" s="5" t="n"/>
      <c r="E85" s="5" t="n"/>
      <c r="F85" s="5" t="n"/>
      <c r="G85" s="5" t="n"/>
      <c r="H85" s="5" t="n"/>
      <c r="I85" s="18">
        <f>IF(D85&gt;0,E85/D85,"")</f>
        <v/>
      </c>
      <c r="J85" s="10">
        <f>IF(G85&gt;0,C85/G85,"")</f>
        <v/>
      </c>
      <c r="K85" s="19">
        <f>IF(C85&gt;0,H85/C85,"")</f>
        <v/>
      </c>
      <c r="L85" s="14">
        <f>IF(C85="","",G85*'הגדרות ורווח'!$B$24-C85)</f>
        <v/>
      </c>
      <c r="M85" s="2">
        <f>IF(C85="","",IF(AND(G85=0,F85=0,C85&gt;=80),"לכבות את המודעה (80 ₪ בלי הוספה לסל)",IF(AND(D85&gt;1000,I85&lt;0.007),"ההוק לא עובד: קריאייטיב חדש",IF(AND(F85&gt;=3,G85=0),"יש הוספות לסל ואין רכישות: לבדוק תשלום וסליקה",IF(G85=0,"להמשיך לאסוף נתונים",IF(J85&lt;='הגדרות ורווח'!$B$26,"מצוין: להגדיל תקציב ב-20%",IF(J85&lt;='הגדרות ורווח'!$B$25,"מרוויח: להחזיק, להחליף מודעות חלשות","מפסיד: לעצור ולשנות")))))))</f>
        <v/>
      </c>
    </row>
    <row r="86">
      <c r="A86" s="17" t="n"/>
      <c r="B86" s="5" t="n"/>
      <c r="C86" s="5" t="n"/>
      <c r="D86" s="5" t="n"/>
      <c r="E86" s="5" t="n"/>
      <c r="F86" s="5" t="n"/>
      <c r="G86" s="5" t="n"/>
      <c r="H86" s="5" t="n"/>
      <c r="I86" s="18">
        <f>IF(D86&gt;0,E86/D86,"")</f>
        <v/>
      </c>
      <c r="J86" s="10">
        <f>IF(G86&gt;0,C86/G86,"")</f>
        <v/>
      </c>
      <c r="K86" s="19">
        <f>IF(C86&gt;0,H86/C86,"")</f>
        <v/>
      </c>
      <c r="L86" s="14">
        <f>IF(C86="","",G86*'הגדרות ורווח'!$B$24-C86)</f>
        <v/>
      </c>
      <c r="M86" s="2">
        <f>IF(C86="","",IF(AND(G86=0,F86=0,C86&gt;=80),"לכבות את המודעה (80 ₪ בלי הוספה לסל)",IF(AND(D86&gt;1000,I86&lt;0.007),"ההוק לא עובד: קריאייטיב חדש",IF(AND(F86&gt;=3,G86=0),"יש הוספות לסל ואין רכישות: לבדוק תשלום וסליקה",IF(G86=0,"להמשיך לאסוף נתונים",IF(J86&lt;='הגדרות ורווח'!$B$26,"מצוין: להגדיל תקציב ב-20%",IF(J86&lt;='הגדרות ורווח'!$B$25,"מרוויח: להחזיק, להחליף מודעות חלשות","מפסיד: לעצור ולשנות")))))))</f>
        <v/>
      </c>
    </row>
    <row r="87">
      <c r="A87" s="17" t="n"/>
      <c r="B87" s="5" t="n"/>
      <c r="C87" s="5" t="n"/>
      <c r="D87" s="5" t="n"/>
      <c r="E87" s="5" t="n"/>
      <c r="F87" s="5" t="n"/>
      <c r="G87" s="5" t="n"/>
      <c r="H87" s="5" t="n"/>
      <c r="I87" s="18">
        <f>IF(D87&gt;0,E87/D87,"")</f>
        <v/>
      </c>
      <c r="J87" s="10">
        <f>IF(G87&gt;0,C87/G87,"")</f>
        <v/>
      </c>
      <c r="K87" s="19">
        <f>IF(C87&gt;0,H87/C87,"")</f>
        <v/>
      </c>
      <c r="L87" s="14">
        <f>IF(C87="","",G87*'הגדרות ורווח'!$B$24-C87)</f>
        <v/>
      </c>
      <c r="M87" s="2">
        <f>IF(C87="","",IF(AND(G87=0,F87=0,C87&gt;=80),"לכבות את המודעה (80 ₪ בלי הוספה לסל)",IF(AND(D87&gt;1000,I87&lt;0.007),"ההוק לא עובד: קריאייטיב חדש",IF(AND(F87&gt;=3,G87=0),"יש הוספות לסל ואין רכישות: לבדוק תשלום וסליקה",IF(G87=0,"להמשיך לאסוף נתונים",IF(J87&lt;='הגדרות ורווח'!$B$26,"מצוין: להגדיל תקציב ב-20%",IF(J87&lt;='הגדרות ורווח'!$B$25,"מרוויח: להחזיק, להחליף מודעות חלשות","מפסיד: לעצור ולשנות")))))))</f>
        <v/>
      </c>
    </row>
    <row r="88">
      <c r="A88" s="17" t="n"/>
      <c r="B88" s="5" t="n"/>
      <c r="C88" s="5" t="n"/>
      <c r="D88" s="5" t="n"/>
      <c r="E88" s="5" t="n"/>
      <c r="F88" s="5" t="n"/>
      <c r="G88" s="5" t="n"/>
      <c r="H88" s="5" t="n"/>
      <c r="I88" s="18">
        <f>IF(D88&gt;0,E88/D88,"")</f>
        <v/>
      </c>
      <c r="J88" s="10">
        <f>IF(G88&gt;0,C88/G88,"")</f>
        <v/>
      </c>
      <c r="K88" s="19">
        <f>IF(C88&gt;0,H88/C88,"")</f>
        <v/>
      </c>
      <c r="L88" s="14">
        <f>IF(C88="","",G88*'הגדרות ורווח'!$B$24-C88)</f>
        <v/>
      </c>
      <c r="M88" s="2">
        <f>IF(C88="","",IF(AND(G88=0,F88=0,C88&gt;=80),"לכבות את המודעה (80 ₪ בלי הוספה לסל)",IF(AND(D88&gt;1000,I88&lt;0.007),"ההוק לא עובד: קריאייטיב חדש",IF(AND(F88&gt;=3,G88=0),"יש הוספות לסל ואין רכישות: לבדוק תשלום וסליקה",IF(G88=0,"להמשיך לאסוף נתונים",IF(J88&lt;='הגדרות ורווח'!$B$26,"מצוין: להגדיל תקציב ב-20%",IF(J88&lt;='הגדרות ורווח'!$B$25,"מרוויח: להחזיק, להחליף מודעות חלשות","מפסיד: לעצור ולשנות")))))))</f>
        <v/>
      </c>
    </row>
    <row r="89">
      <c r="A89" s="17" t="n"/>
      <c r="B89" s="5" t="n"/>
      <c r="C89" s="5" t="n"/>
      <c r="D89" s="5" t="n"/>
      <c r="E89" s="5" t="n"/>
      <c r="F89" s="5" t="n"/>
      <c r="G89" s="5" t="n"/>
      <c r="H89" s="5" t="n"/>
      <c r="I89" s="18">
        <f>IF(D89&gt;0,E89/D89,"")</f>
        <v/>
      </c>
      <c r="J89" s="10">
        <f>IF(G89&gt;0,C89/G89,"")</f>
        <v/>
      </c>
      <c r="K89" s="19">
        <f>IF(C89&gt;0,H89/C89,"")</f>
        <v/>
      </c>
      <c r="L89" s="14">
        <f>IF(C89="","",G89*'הגדרות ורווח'!$B$24-C89)</f>
        <v/>
      </c>
      <c r="M89" s="2">
        <f>IF(C89="","",IF(AND(G89=0,F89=0,C89&gt;=80),"לכבות את המודעה (80 ₪ בלי הוספה לסל)",IF(AND(D89&gt;1000,I89&lt;0.007),"ההוק לא עובד: קריאייטיב חדש",IF(AND(F89&gt;=3,G89=0),"יש הוספות לסל ואין רכישות: לבדוק תשלום וסליקה",IF(G89=0,"להמשיך לאסוף נתונים",IF(J89&lt;='הגדרות ורווח'!$B$26,"מצוין: להגדיל תקציב ב-20%",IF(J89&lt;='הגדרות ורווח'!$B$25,"מרוויח: להחזיק, להחליף מודעות חלשות","מפסיד: לעצור ולשנות")))))))</f>
        <v/>
      </c>
    </row>
    <row r="90">
      <c r="A90" s="17" t="n"/>
      <c r="B90" s="5" t="n"/>
      <c r="C90" s="5" t="n"/>
      <c r="D90" s="5" t="n"/>
      <c r="E90" s="5" t="n"/>
      <c r="F90" s="5" t="n"/>
      <c r="G90" s="5" t="n"/>
      <c r="H90" s="5" t="n"/>
      <c r="I90" s="18">
        <f>IF(D90&gt;0,E90/D90,"")</f>
        <v/>
      </c>
      <c r="J90" s="10">
        <f>IF(G90&gt;0,C90/G90,"")</f>
        <v/>
      </c>
      <c r="K90" s="19">
        <f>IF(C90&gt;0,H90/C90,"")</f>
        <v/>
      </c>
      <c r="L90" s="14">
        <f>IF(C90="","",G90*'הגדרות ורווח'!$B$24-C90)</f>
        <v/>
      </c>
      <c r="M90" s="2">
        <f>IF(C90="","",IF(AND(G90=0,F90=0,C90&gt;=80),"לכבות את המודעה (80 ₪ בלי הוספה לסל)",IF(AND(D90&gt;1000,I90&lt;0.007),"ההוק לא עובד: קריאייטיב חדש",IF(AND(F90&gt;=3,G90=0),"יש הוספות לסל ואין רכישות: לבדוק תשלום וסליקה",IF(G90=0,"להמשיך לאסוף נתונים",IF(J90&lt;='הגדרות ורווח'!$B$26,"מצוין: להגדיל תקציב ב-20%",IF(J90&lt;='הגדרות ורווח'!$B$25,"מרוויח: להחזיק, להחליף מודעות חלשות","מפסיד: לעצור ולשנות")))))))</f>
        <v/>
      </c>
    </row>
    <row r="91">
      <c r="A91" s="17" t="n"/>
      <c r="B91" s="5" t="n"/>
      <c r="C91" s="5" t="n"/>
      <c r="D91" s="5" t="n"/>
      <c r="E91" s="5" t="n"/>
      <c r="F91" s="5" t="n"/>
      <c r="G91" s="5" t="n"/>
      <c r="H91" s="5" t="n"/>
      <c r="I91" s="18">
        <f>IF(D91&gt;0,E91/D91,"")</f>
        <v/>
      </c>
      <c r="J91" s="10">
        <f>IF(G91&gt;0,C91/G91,"")</f>
        <v/>
      </c>
      <c r="K91" s="19">
        <f>IF(C91&gt;0,H91/C91,"")</f>
        <v/>
      </c>
      <c r="L91" s="14">
        <f>IF(C91="","",G91*'הגדרות ורווח'!$B$24-C91)</f>
        <v/>
      </c>
      <c r="M91" s="2">
        <f>IF(C91="","",IF(AND(G91=0,F91=0,C91&gt;=80),"לכבות את המודעה (80 ₪ בלי הוספה לסל)",IF(AND(D91&gt;1000,I91&lt;0.007),"ההוק לא עובד: קריאייטיב חדש",IF(AND(F91&gt;=3,G91=0),"יש הוספות לסל ואין רכישות: לבדוק תשלום וסליקה",IF(G91=0,"להמשיך לאסוף נתונים",IF(J91&lt;='הגדרות ורווח'!$B$26,"מצוין: להגדיל תקציב ב-20%",IF(J91&lt;='הגדרות ורווח'!$B$25,"מרוויח: להחזיק, להחליף מודעות חלשות","מפסיד: לעצור ולשנות")))))))</f>
        <v/>
      </c>
    </row>
    <row r="92">
      <c r="A92" s="17" t="n"/>
      <c r="B92" s="5" t="n"/>
      <c r="C92" s="5" t="n"/>
      <c r="D92" s="5" t="n"/>
      <c r="E92" s="5" t="n"/>
      <c r="F92" s="5" t="n"/>
      <c r="G92" s="5" t="n"/>
      <c r="H92" s="5" t="n"/>
      <c r="I92" s="18">
        <f>IF(D92&gt;0,E92/D92,"")</f>
        <v/>
      </c>
      <c r="J92" s="10">
        <f>IF(G92&gt;0,C92/G92,"")</f>
        <v/>
      </c>
      <c r="K92" s="19">
        <f>IF(C92&gt;0,H92/C92,"")</f>
        <v/>
      </c>
      <c r="L92" s="14">
        <f>IF(C92="","",G92*'הגדרות ורווח'!$B$24-C92)</f>
        <v/>
      </c>
      <c r="M92" s="2">
        <f>IF(C92="","",IF(AND(G92=0,F92=0,C92&gt;=80),"לכבות את המודעה (80 ₪ בלי הוספה לסל)",IF(AND(D92&gt;1000,I92&lt;0.007),"ההוק לא עובד: קריאייטיב חדש",IF(AND(F92&gt;=3,G92=0),"יש הוספות לסל ואין רכישות: לבדוק תשלום וסליקה",IF(G92=0,"להמשיך לאסוף נתונים",IF(J92&lt;='הגדרות ורווח'!$B$26,"מצוין: להגדיל תקציב ב-20%",IF(J92&lt;='הגדרות ורווח'!$B$25,"מרוויח: להחזיק, להחליף מודעות חלשות","מפסיד: לעצור ולשנות")))))))</f>
        <v/>
      </c>
    </row>
    <row r="93">
      <c r="A93" s="17" t="n"/>
      <c r="B93" s="5" t="n"/>
      <c r="C93" s="5" t="n"/>
      <c r="D93" s="5" t="n"/>
      <c r="E93" s="5" t="n"/>
      <c r="F93" s="5" t="n"/>
      <c r="G93" s="5" t="n"/>
      <c r="H93" s="5" t="n"/>
      <c r="I93" s="18">
        <f>IF(D93&gt;0,E93/D93,"")</f>
        <v/>
      </c>
      <c r="J93" s="10">
        <f>IF(G93&gt;0,C93/G93,"")</f>
        <v/>
      </c>
      <c r="K93" s="19">
        <f>IF(C93&gt;0,H93/C93,"")</f>
        <v/>
      </c>
      <c r="L93" s="14">
        <f>IF(C93="","",G93*'הגדרות ורווח'!$B$24-C93)</f>
        <v/>
      </c>
      <c r="M93" s="2">
        <f>IF(C93="","",IF(AND(G93=0,F93=0,C93&gt;=80),"לכבות את המודעה (80 ₪ בלי הוספה לסל)",IF(AND(D93&gt;1000,I93&lt;0.007),"ההוק לא עובד: קריאייטיב חדש",IF(AND(F93&gt;=3,G93=0),"יש הוספות לסל ואין רכישות: לבדוק תשלום וסליקה",IF(G93=0,"להמשיך לאסוף נתונים",IF(J93&lt;='הגדרות ורווח'!$B$26,"מצוין: להגדיל תקציב ב-20%",IF(J93&lt;='הגדרות ורווח'!$B$25,"מרוויח: להחזיק, להחליף מודעות חלשות","מפסיד: לעצור ולשנות")))))))</f>
        <v/>
      </c>
    </row>
    <row r="94">
      <c r="A94" s="17" t="n"/>
      <c r="B94" s="5" t="n"/>
      <c r="C94" s="5" t="n"/>
      <c r="D94" s="5" t="n"/>
      <c r="E94" s="5" t="n"/>
      <c r="F94" s="5" t="n"/>
      <c r="G94" s="5" t="n"/>
      <c r="H94" s="5" t="n"/>
      <c r="I94" s="18">
        <f>IF(D94&gt;0,E94/D94,"")</f>
        <v/>
      </c>
      <c r="J94" s="10">
        <f>IF(G94&gt;0,C94/G94,"")</f>
        <v/>
      </c>
      <c r="K94" s="19">
        <f>IF(C94&gt;0,H94/C94,"")</f>
        <v/>
      </c>
      <c r="L94" s="14">
        <f>IF(C94="","",G94*'הגדרות ורווח'!$B$24-C94)</f>
        <v/>
      </c>
      <c r="M94" s="2">
        <f>IF(C94="","",IF(AND(G94=0,F94=0,C94&gt;=80),"לכבות את המודעה (80 ₪ בלי הוספה לסל)",IF(AND(D94&gt;1000,I94&lt;0.007),"ההוק לא עובד: קריאייטיב חדש",IF(AND(F94&gt;=3,G94=0),"יש הוספות לסל ואין רכישות: לבדוק תשלום וסליקה",IF(G94=0,"להמשיך לאסוף נתונים",IF(J94&lt;='הגדרות ורווח'!$B$26,"מצוין: להגדיל תקציב ב-20%",IF(J94&lt;='הגדרות ורווח'!$B$25,"מרוויח: להחזיק, להחליף מודעות חלשות","מפסיד: לעצור ולשנות")))))))</f>
        <v/>
      </c>
    </row>
    <row r="95">
      <c r="A95" s="17" t="n"/>
      <c r="B95" s="5" t="n"/>
      <c r="C95" s="5" t="n"/>
      <c r="D95" s="5" t="n"/>
      <c r="E95" s="5" t="n"/>
      <c r="F95" s="5" t="n"/>
      <c r="G95" s="5" t="n"/>
      <c r="H95" s="5" t="n"/>
      <c r="I95" s="18">
        <f>IF(D95&gt;0,E95/D95,"")</f>
        <v/>
      </c>
      <c r="J95" s="10">
        <f>IF(G95&gt;0,C95/G95,"")</f>
        <v/>
      </c>
      <c r="K95" s="19">
        <f>IF(C95&gt;0,H95/C95,"")</f>
        <v/>
      </c>
      <c r="L95" s="14">
        <f>IF(C95="","",G95*'הגדרות ורווח'!$B$24-C95)</f>
        <v/>
      </c>
      <c r="M95" s="2">
        <f>IF(C95="","",IF(AND(G95=0,F95=0,C95&gt;=80),"לכבות את המודעה (80 ₪ בלי הוספה לסל)",IF(AND(D95&gt;1000,I95&lt;0.007),"ההוק לא עובד: קריאייטיב חדש",IF(AND(F95&gt;=3,G95=0),"יש הוספות לסל ואין רכישות: לבדוק תשלום וסליקה",IF(G95=0,"להמשיך לאסוף נתונים",IF(J95&lt;='הגדרות ורווח'!$B$26,"מצוין: להגדיל תקציב ב-20%",IF(J95&lt;='הגדרות ורווח'!$B$25,"מרוויח: להחזיק, להחליף מודעות חלשות","מפסיד: לעצור ולשנות")))))))</f>
        <v/>
      </c>
    </row>
    <row r="96">
      <c r="A96" s="17" t="n"/>
      <c r="B96" s="5" t="n"/>
      <c r="C96" s="5" t="n"/>
      <c r="D96" s="5" t="n"/>
      <c r="E96" s="5" t="n"/>
      <c r="F96" s="5" t="n"/>
      <c r="G96" s="5" t="n"/>
      <c r="H96" s="5" t="n"/>
      <c r="I96" s="18">
        <f>IF(D96&gt;0,E96/D96,"")</f>
        <v/>
      </c>
      <c r="J96" s="10">
        <f>IF(G96&gt;0,C96/G96,"")</f>
        <v/>
      </c>
      <c r="K96" s="19">
        <f>IF(C96&gt;0,H96/C96,"")</f>
        <v/>
      </c>
      <c r="L96" s="14">
        <f>IF(C96="","",G96*'הגדרות ורווח'!$B$24-C96)</f>
        <v/>
      </c>
      <c r="M96" s="2">
        <f>IF(C96="","",IF(AND(G96=0,F96=0,C96&gt;=80),"לכבות את המודעה (80 ₪ בלי הוספה לסל)",IF(AND(D96&gt;1000,I96&lt;0.007),"ההוק לא עובד: קריאייטיב חדש",IF(AND(F96&gt;=3,G96=0),"יש הוספות לסל ואין רכישות: לבדוק תשלום וסליקה",IF(G96=0,"להמשיך לאסוף נתונים",IF(J96&lt;='הגדרות ורווח'!$B$26,"מצוין: להגדיל תקציב ב-20%",IF(J96&lt;='הגדרות ורווח'!$B$25,"מרוויח: להחזיק, להחליף מודעות חלשות","מפסיד: לעצור ולשנות")))))))</f>
        <v/>
      </c>
    </row>
    <row r="97">
      <c r="A97" s="17" t="n"/>
      <c r="B97" s="5" t="n"/>
      <c r="C97" s="5" t="n"/>
      <c r="D97" s="5" t="n"/>
      <c r="E97" s="5" t="n"/>
      <c r="F97" s="5" t="n"/>
      <c r="G97" s="5" t="n"/>
      <c r="H97" s="5" t="n"/>
      <c r="I97" s="18">
        <f>IF(D97&gt;0,E97/D97,"")</f>
        <v/>
      </c>
      <c r="J97" s="10">
        <f>IF(G97&gt;0,C97/G97,"")</f>
        <v/>
      </c>
      <c r="K97" s="19">
        <f>IF(C97&gt;0,H97/C97,"")</f>
        <v/>
      </c>
      <c r="L97" s="14">
        <f>IF(C97="","",G97*'הגדרות ורווח'!$B$24-C97)</f>
        <v/>
      </c>
      <c r="M97" s="2">
        <f>IF(C97="","",IF(AND(G97=0,F97=0,C97&gt;=80),"לכבות את המודעה (80 ₪ בלי הוספה לסל)",IF(AND(D97&gt;1000,I97&lt;0.007),"ההוק לא עובד: קריאייטיב חדש",IF(AND(F97&gt;=3,G97=0),"יש הוספות לסל ואין רכישות: לבדוק תשלום וסליקה",IF(G97=0,"להמשיך לאסוף נתונים",IF(J97&lt;='הגדרות ורווח'!$B$26,"מצוין: להגדיל תקציב ב-20%",IF(J97&lt;='הגדרות ורווח'!$B$25,"מרוויח: להחזיק, להחליף מודעות חלשות","מפסיד: לעצור ולשנות")))))))</f>
        <v/>
      </c>
    </row>
    <row r="98">
      <c r="A98" s="17" t="n"/>
      <c r="B98" s="5" t="n"/>
      <c r="C98" s="5" t="n"/>
      <c r="D98" s="5" t="n"/>
      <c r="E98" s="5" t="n"/>
      <c r="F98" s="5" t="n"/>
      <c r="G98" s="5" t="n"/>
      <c r="H98" s="5" t="n"/>
      <c r="I98" s="18">
        <f>IF(D98&gt;0,E98/D98,"")</f>
        <v/>
      </c>
      <c r="J98" s="10">
        <f>IF(G98&gt;0,C98/G98,"")</f>
        <v/>
      </c>
      <c r="K98" s="19">
        <f>IF(C98&gt;0,H98/C98,"")</f>
        <v/>
      </c>
      <c r="L98" s="14">
        <f>IF(C98="","",G98*'הגדרות ורווח'!$B$24-C98)</f>
        <v/>
      </c>
      <c r="M98" s="2">
        <f>IF(C98="","",IF(AND(G98=0,F98=0,C98&gt;=80),"לכבות את המודעה (80 ₪ בלי הוספה לסל)",IF(AND(D98&gt;1000,I98&lt;0.007),"ההוק לא עובד: קריאייטיב חדש",IF(AND(F98&gt;=3,G98=0),"יש הוספות לסל ואין רכישות: לבדוק תשלום וסליקה",IF(G98=0,"להמשיך לאסוף נתונים",IF(J98&lt;='הגדרות ורווח'!$B$26,"מצוין: להגדיל תקציב ב-20%",IF(J98&lt;='הגדרות ורווח'!$B$25,"מרוויח: להחזיק, להחליף מודעות חלשות","מפסיד: לעצור ולשנות")))))))</f>
        <v/>
      </c>
    </row>
    <row r="99">
      <c r="A99" s="17" t="n"/>
      <c r="B99" s="5" t="n"/>
      <c r="C99" s="5" t="n"/>
      <c r="D99" s="5" t="n"/>
      <c r="E99" s="5" t="n"/>
      <c r="F99" s="5" t="n"/>
      <c r="G99" s="5" t="n"/>
      <c r="H99" s="5" t="n"/>
      <c r="I99" s="18">
        <f>IF(D99&gt;0,E99/D99,"")</f>
        <v/>
      </c>
      <c r="J99" s="10">
        <f>IF(G99&gt;0,C99/G99,"")</f>
        <v/>
      </c>
      <c r="K99" s="19">
        <f>IF(C99&gt;0,H99/C99,"")</f>
        <v/>
      </c>
      <c r="L99" s="14">
        <f>IF(C99="","",G99*'הגדרות ורווח'!$B$24-C99)</f>
        <v/>
      </c>
      <c r="M99" s="2">
        <f>IF(C99="","",IF(AND(G99=0,F99=0,C99&gt;=80),"לכבות את המודעה (80 ₪ בלי הוספה לסל)",IF(AND(D99&gt;1000,I99&lt;0.007),"ההוק לא עובד: קריאייטיב חדש",IF(AND(F99&gt;=3,G99=0),"יש הוספות לסל ואין רכישות: לבדוק תשלום וסליקה",IF(G99=0,"להמשיך לאסוף נתונים",IF(J99&lt;='הגדרות ורווח'!$B$26,"מצוין: להגדיל תקציב ב-20%",IF(J99&lt;='הגדרות ורווח'!$B$25,"מרוויח: להחזיק, להחליף מודעות חלשות","מפסיד: לעצור ולשנות")))))))</f>
        <v/>
      </c>
    </row>
    <row r="100">
      <c r="A100" s="17" t="n"/>
      <c r="B100" s="5" t="n"/>
      <c r="C100" s="5" t="n"/>
      <c r="D100" s="5" t="n"/>
      <c r="E100" s="5" t="n"/>
      <c r="F100" s="5" t="n"/>
      <c r="G100" s="5" t="n"/>
      <c r="H100" s="5" t="n"/>
      <c r="I100" s="18">
        <f>IF(D100&gt;0,E100/D100,"")</f>
        <v/>
      </c>
      <c r="J100" s="10">
        <f>IF(G100&gt;0,C100/G100,"")</f>
        <v/>
      </c>
      <c r="K100" s="19">
        <f>IF(C100&gt;0,H100/C100,"")</f>
        <v/>
      </c>
      <c r="L100" s="14">
        <f>IF(C100="","",G100*'הגדרות ורווח'!$B$24-C100)</f>
        <v/>
      </c>
      <c r="M100" s="2">
        <f>IF(C100="","",IF(AND(G100=0,F100=0,C100&gt;=80),"לכבות את המודעה (80 ₪ בלי הוספה לסל)",IF(AND(D100&gt;1000,I100&lt;0.007),"ההוק לא עובד: קריאייטיב חדש",IF(AND(F100&gt;=3,G100=0),"יש הוספות לסל ואין רכישות: לבדוק תשלום וסליקה",IF(G100=0,"להמשיך לאסוף נתונים",IF(J100&lt;='הגדרות ורווח'!$B$26,"מצוין: להגדיל תקציב ב-20%",IF(J100&lt;='הגדרות ורווח'!$B$25,"מרוויח: להחזיק, להחליף מודעות חלשות","מפסיד: לעצור ולשנות")))))))</f>
        <v/>
      </c>
    </row>
    <row r="101">
      <c r="A101" s="17" t="n"/>
      <c r="B101" s="5" t="n"/>
      <c r="C101" s="5" t="n"/>
      <c r="D101" s="5" t="n"/>
      <c r="E101" s="5" t="n"/>
      <c r="F101" s="5" t="n"/>
      <c r="G101" s="5" t="n"/>
      <c r="H101" s="5" t="n"/>
      <c r="I101" s="18">
        <f>IF(D101&gt;0,E101/D101,"")</f>
        <v/>
      </c>
      <c r="J101" s="10">
        <f>IF(G101&gt;0,C101/G101,"")</f>
        <v/>
      </c>
      <c r="K101" s="19">
        <f>IF(C101&gt;0,H101/C101,"")</f>
        <v/>
      </c>
      <c r="L101" s="14">
        <f>IF(C101="","",G101*'הגדרות ורווח'!$B$24-C101)</f>
        <v/>
      </c>
      <c r="M101" s="2">
        <f>IF(C101="","",IF(AND(G101=0,F101=0,C101&gt;=80),"לכבות את המודעה (80 ₪ בלי הוספה לסל)",IF(AND(D101&gt;1000,I101&lt;0.007),"ההוק לא עובד: קריאייטיב חדש",IF(AND(F101&gt;=3,G101=0),"יש הוספות לסל ואין רכישות: לבדוק תשלום וסליקה",IF(G101=0,"להמשיך לאסוף נתונים",IF(J101&lt;='הגדרות ורווח'!$B$26,"מצוין: להגדיל תקציב ב-20%",IF(J101&lt;='הגדרות ורווח'!$B$25,"מרוויח: להחזיק, להחליף מודעות חלשות","מפסיד: לעצור ולשנות")))))))</f>
        <v/>
      </c>
    </row>
  </sheetData>
  <conditionalFormatting sqref="L2:L101">
    <cfRule type="expression" priority="1" dxfId="0">
      <formula>AND(ISNUMBER(L2),L2&lt;0)</formula>
    </cfRule>
    <cfRule type="expression" priority="2" dxfId="1">
      <formula>AND(ISNUMBER(L2),L2&gt;0)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20" t="inlineStr">
        <is>
          <t>סיכום הקמפיין</t>
        </is>
      </c>
    </row>
    <row r="2">
      <c r="A2" s="2" t="inlineStr">
        <is>
          <t>הוצאה כוללת (₪)</t>
        </is>
      </c>
      <c r="B2" s="14">
        <f>SUM('יומן פרסום'!C2:C101)</f>
        <v/>
      </c>
    </row>
    <row r="3">
      <c r="A3" s="2" t="inlineStr">
        <is>
          <t>רכישות</t>
        </is>
      </c>
      <c r="B3" s="21">
        <f>SUM('יומן פרסום'!G2:G101)</f>
        <v/>
      </c>
    </row>
    <row r="4">
      <c r="A4" s="2" t="inlineStr">
        <is>
          <t>הכנסה (₪)</t>
        </is>
      </c>
      <c r="B4" s="14">
        <f>SUM('יומן פרסום'!H2:H101)</f>
        <v/>
      </c>
    </row>
    <row r="5">
      <c r="A5" s="2" t="inlineStr">
        <is>
          <t>עלות רכישה ממוצעת (₪)</t>
        </is>
      </c>
      <c r="B5" s="10">
        <f>IF(B3&gt;0,B2/B3,"")</f>
        <v/>
      </c>
    </row>
    <row r="6">
      <c r="A6" s="2" t="inlineStr">
        <is>
          <t>ROAS</t>
        </is>
      </c>
      <c r="B6" s="19">
        <f>IF(B2&gt;0,B4/B2,"")</f>
        <v/>
      </c>
    </row>
    <row r="7">
      <c r="A7" s="11" t="inlineStr">
        <is>
          <t>רווח אחרי פרסום (₪)</t>
        </is>
      </c>
      <c r="B7" s="22">
        <f>SUM('יומן פרסום'!L2:L101)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2026-10-31T12:07:22Z</dcterms:created>
  <dcterms:modified xmlns:dcterms="http://purl.org/dc/terms/" xmlns:xsi="http://www.w3.org/2001/XMLSchema-instance" xsi:type="dcterms:W3CDTF">2026-10-31T12:07:22Z</dcterms:modified>
</cp:coreProperties>
</file>